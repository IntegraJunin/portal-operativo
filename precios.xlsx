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6" i="1" l="1"/>
  <c r="H256" i="1"/>
  <c r="I257" i="1"/>
  <c r="H257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I166" i="1"/>
  <c r="H166" i="1"/>
  <c r="G166" i="1"/>
  <c r="I158" i="1"/>
  <c r="H158" i="1"/>
  <c r="I169" i="1"/>
  <c r="I133" i="1"/>
  <c r="H133" i="1"/>
  <c r="I135" i="1"/>
  <c r="H135" i="1"/>
  <c r="I134" i="1"/>
  <c r="H134" i="1"/>
  <c r="G162" i="1"/>
  <c r="G153" i="1"/>
  <c r="I254" i="1" l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<sst xmlns="http://schemas.openxmlformats.org/spreadsheetml/2006/main" count="456" uniqueCount="236">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</sst>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7"/>
  <sheetViews>
    <sheetView tabSelected="1" topLeftCell="A77" zoomScale="90" zoomScaleNormal="90" workbookViewId="0">
      <selection activeCell="K77" sqref="K77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5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226</v>
      </c>
      <c r="B2" s="114"/>
      <c r="C2" s="115"/>
      <c r="D2" s="115"/>
      <c r="E2" s="116"/>
      <c r="F2" s="68" t="s">
        <v>94</v>
      </c>
      <c r="G2" s="68" t="s">
        <v>95</v>
      </c>
      <c r="H2" s="69" t="s">
        <v>96</v>
      </c>
      <c r="I2" s="69" t="s">
        <v>124</v>
      </c>
    </row>
    <row r="3" spans="1:11" x14ac:dyDescent="0.25">
      <c r="A3" s="8" t="s">
        <v>46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227</v>
      </c>
      <c r="H3" s="65">
        <v>4550</v>
      </c>
      <c r="I3" s="145">
        <f>+F3</f>
        <v>5550</v>
      </c>
    </row>
    <row r="4" spans="1:11" ht="15.75" thickBot="1" x14ac:dyDescent="0.3">
      <c r="A4" s="10" t="s">
        <v>228</v>
      </c>
      <c r="B4" s="150"/>
      <c r="C4" s="150">
        <v>8500</v>
      </c>
      <c r="D4" s="150">
        <v>8500</v>
      </c>
      <c r="E4" s="150">
        <v>8500</v>
      </c>
      <c r="F4" s="150">
        <f>+F3</f>
        <v>5550</v>
      </c>
      <c r="G4" s="65" t="s">
        <v>227</v>
      </c>
      <c r="H4" s="150"/>
      <c r="I4" s="151">
        <f>+I3*2</f>
        <v>11100</v>
      </c>
    </row>
    <row r="5" spans="1:11" ht="15.75" thickBot="1" x14ac:dyDescent="0.3">
      <c r="A5" s="20" t="s">
        <v>225</v>
      </c>
      <c r="B5" s="152"/>
      <c r="C5" s="152"/>
      <c r="D5" s="152"/>
      <c r="E5" s="152"/>
      <c r="F5" s="152"/>
      <c r="G5" s="152"/>
      <c r="H5" s="152"/>
      <c r="I5" s="153"/>
    </row>
    <row r="6" spans="1:11" x14ac:dyDescent="0.25">
      <c r="A6" s="9" t="s">
        <v>152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5" t="s">
        <v>125</v>
      </c>
    </row>
    <row r="7" spans="1:11" ht="15.75" thickBot="1" x14ac:dyDescent="0.3">
      <c r="A7" s="10" t="s">
        <v>126</v>
      </c>
      <c r="B7" s="150"/>
      <c r="C7" s="150">
        <v>14000</v>
      </c>
      <c r="D7" s="150">
        <v>14000</v>
      </c>
      <c r="E7" s="150">
        <v>20000</v>
      </c>
      <c r="F7" s="154">
        <f>+F6/2</f>
        <v>7500</v>
      </c>
      <c r="G7" s="154">
        <f>+G6/2</f>
        <v>15000</v>
      </c>
      <c r="H7" s="150"/>
      <c r="I7" s="151"/>
    </row>
    <row r="8" spans="1:11" ht="16.5" thickBot="1" x14ac:dyDescent="0.3">
      <c r="A8" s="20" t="s">
        <v>97</v>
      </c>
      <c r="B8" s="114"/>
      <c r="C8" s="115"/>
      <c r="D8" s="115"/>
      <c r="E8" s="116"/>
      <c r="F8" s="68" t="s">
        <v>94</v>
      </c>
      <c r="G8" s="68" t="s">
        <v>95</v>
      </c>
      <c r="H8" s="69" t="s">
        <v>96</v>
      </c>
      <c r="I8" s="69" t="s">
        <v>124</v>
      </c>
      <c r="J8" s="114" t="s">
        <v>151</v>
      </c>
      <c r="K8" s="55"/>
    </row>
    <row r="9" spans="1:11" x14ac:dyDescent="0.25">
      <c r="A9" s="21" t="s">
        <v>98</v>
      </c>
      <c r="B9" s="65"/>
      <c r="C9" s="65"/>
      <c r="D9" s="65"/>
      <c r="E9" s="65"/>
      <c r="F9" s="65"/>
      <c r="G9" s="65"/>
      <c r="H9" s="65"/>
      <c r="I9" s="65"/>
      <c r="J9" s="156">
        <v>4800</v>
      </c>
      <c r="K9" s="11"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6"/>
      <c r="K10" s="11"/>
    </row>
    <row r="11" spans="1:11" x14ac:dyDescent="0.25">
      <c r="A11" s="19" t="s">
        <v>132</v>
      </c>
      <c r="B11" s="65">
        <v>30000</v>
      </c>
      <c r="C11" s="65"/>
      <c r="D11" s="65"/>
      <c r="E11" s="65">
        <v>10000</v>
      </c>
      <c r="F11" s="65"/>
      <c r="G11" s="70">
        <v>15000</v>
      </c>
      <c r="H11" s="65"/>
      <c r="I11" s="65"/>
      <c r="J11" s="156"/>
      <c r="K11" s="11"/>
    </row>
    <row r="12" spans="1:11" x14ac:dyDescent="0.25">
      <c r="A12" s="23" t="s">
        <v>42</v>
      </c>
      <c r="B12" s="65">
        <v>25000</v>
      </c>
      <c r="C12" s="65"/>
      <c r="D12" s="65"/>
      <c r="E12" s="65">
        <v>8000</v>
      </c>
      <c r="F12" s="65"/>
      <c r="G12" s="70">
        <v>12000</v>
      </c>
      <c r="H12" s="65"/>
      <c r="I12" s="65"/>
      <c r="J12" s="156"/>
      <c r="K12" s="11"/>
    </row>
    <row r="13" spans="1:11" x14ac:dyDescent="0.25">
      <c r="A13" s="19" t="s">
        <v>133</v>
      </c>
      <c r="B13" s="65"/>
      <c r="C13" s="65"/>
      <c r="D13" s="65"/>
      <c r="E13" s="65">
        <v>17000</v>
      </c>
      <c r="F13" s="65"/>
      <c r="G13" s="71">
        <v>18000</v>
      </c>
      <c r="H13" s="65"/>
      <c r="I13" s="65"/>
      <c r="J13" s="156"/>
      <c r="K13" s="11"/>
    </row>
    <row r="14" spans="1:11" ht="15.75" thickBot="1" x14ac:dyDescent="0.3">
      <c r="A14" s="19" t="s">
        <v>134</v>
      </c>
      <c r="B14" s="65"/>
      <c r="C14" s="65"/>
      <c r="D14" s="65"/>
      <c r="E14" s="65">
        <v>18400</v>
      </c>
      <c r="F14" s="65"/>
      <c r="G14" s="71">
        <v>20000</v>
      </c>
      <c r="H14" s="65"/>
      <c r="I14" s="65"/>
      <c r="J14" s="156"/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94</v>
      </c>
      <c r="G15" s="68" t="s">
        <v>95</v>
      </c>
      <c r="H15" s="69" t="s">
        <v>96</v>
      </c>
      <c r="I15" s="69" t="s">
        <v>124</v>
      </c>
      <c r="J15" s="114" t="s">
        <v>151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6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6">
        <v>59000</v>
      </c>
      <c r="K17" s="11">
        <v>177000</v>
      </c>
    </row>
    <row r="18" spans="1:11" ht="15.75" thickBot="1" x14ac:dyDescent="0.3">
      <c r="A18" s="56" t="s">
        <v>127</v>
      </c>
      <c r="B18" s="65"/>
      <c r="C18" s="65"/>
      <c r="D18" s="65"/>
      <c r="E18" s="65">
        <v>16000</v>
      </c>
      <c r="F18" s="65"/>
      <c r="G18" s="65"/>
      <c r="H18" s="65"/>
      <c r="I18" s="65"/>
      <c r="J18" s="156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94</v>
      </c>
      <c r="G19" s="68" t="s">
        <v>95</v>
      </c>
      <c r="H19" s="69" t="s">
        <v>96</v>
      </c>
      <c r="I19" s="69" t="s">
        <v>124</v>
      </c>
    </row>
    <row r="20" spans="1:11" ht="15.75" thickBot="1" x14ac:dyDescent="0.3">
      <c r="A20" s="23" t="s">
        <v>99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94</v>
      </c>
      <c r="G21" s="68" t="s">
        <v>95</v>
      </c>
      <c r="H21" s="69" t="s">
        <v>96</v>
      </c>
      <c r="I21" s="69" t="s">
        <v>124</v>
      </c>
      <c r="J21" s="114" t="s">
        <v>151</v>
      </c>
      <c r="K21" s="55"/>
    </row>
    <row r="22" spans="1:11" ht="15.75" thickBot="1" x14ac:dyDescent="0.3">
      <c r="A22" s="27" t="s">
        <v>100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6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94</v>
      </c>
      <c r="G23" s="68" t="s">
        <v>95</v>
      </c>
      <c r="H23" s="69" t="s">
        <v>96</v>
      </c>
      <c r="I23" s="69" t="s">
        <v>124</v>
      </c>
      <c r="J23" s="114" t="s">
        <v>151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6"/>
      <c r="K24" s="11"/>
    </row>
    <row r="25" spans="1:11" ht="16.5" thickBot="1" x14ac:dyDescent="0.3">
      <c r="A25" s="3" t="s">
        <v>101</v>
      </c>
      <c r="B25" s="114"/>
      <c r="C25" s="115"/>
      <c r="D25" s="115"/>
      <c r="E25" s="116"/>
      <c r="F25" s="68" t="s">
        <v>94</v>
      </c>
      <c r="G25" s="68" t="s">
        <v>95</v>
      </c>
      <c r="H25" s="69" t="s">
        <v>96</v>
      </c>
      <c r="I25" s="69" t="s">
        <v>124</v>
      </c>
      <c r="J25" s="114" t="s">
        <v>151</v>
      </c>
      <c r="K25" s="55"/>
    </row>
    <row r="26" spans="1:11" ht="15.75" thickBot="1" x14ac:dyDescent="0.3">
      <c r="A26" s="28" t="s">
        <v>100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6">
        <v>17400</v>
      </c>
      <c r="K26" s="11">
        <v>17400</v>
      </c>
    </row>
    <row r="27" spans="1:11" ht="15.75" customHeight="1" thickBot="1" x14ac:dyDescent="0.3">
      <c r="A27" s="3" t="s">
        <v>93</v>
      </c>
      <c r="B27" s="114"/>
      <c r="C27" s="115"/>
      <c r="D27" s="115"/>
      <c r="E27" s="116"/>
      <c r="F27" s="68" t="s">
        <v>94</v>
      </c>
      <c r="G27" s="68" t="s">
        <v>95</v>
      </c>
      <c r="H27" s="69" t="s">
        <v>96</v>
      </c>
      <c r="I27" s="69" t="s">
        <v>124</v>
      </c>
      <c r="J27" s="114" t="s">
        <v>151</v>
      </c>
      <c r="K27" s="55"/>
    </row>
    <row r="28" spans="1:11" ht="15.75" thickBot="1" x14ac:dyDescent="0.3">
      <c r="A28" s="29" t="s">
        <v>102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6">
        <v>199000</v>
      </c>
      <c r="K28" s="11">
        <v>199000</v>
      </c>
    </row>
    <row r="29" spans="1:11" ht="15.75" customHeight="1" thickBot="1" x14ac:dyDescent="0.3">
      <c r="A29" s="1" t="s">
        <v>43</v>
      </c>
      <c r="B29" s="114"/>
      <c r="C29" s="115"/>
      <c r="D29" s="115"/>
      <c r="E29" s="116"/>
      <c r="F29" s="68" t="s">
        <v>94</v>
      </c>
      <c r="G29" s="68" t="s">
        <v>95</v>
      </c>
      <c r="H29" s="69" t="s">
        <v>96</v>
      </c>
      <c r="I29" s="69" t="s">
        <v>124</v>
      </c>
      <c r="J29" s="114" t="s">
        <v>151</v>
      </c>
      <c r="K29" s="55"/>
    </row>
    <row r="30" spans="1:11" ht="15.75" thickBot="1" x14ac:dyDescent="0.3">
      <c r="A30" s="30" t="s">
        <v>103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6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94</v>
      </c>
      <c r="G31" s="68" t="s">
        <v>95</v>
      </c>
      <c r="H31" s="69" t="s">
        <v>96</v>
      </c>
      <c r="I31" s="69" t="s">
        <v>124</v>
      </c>
      <c r="J31" s="114" t="s">
        <v>151</v>
      </c>
      <c r="K31" s="55"/>
    </row>
    <row r="32" spans="1:11" ht="15" customHeight="1" thickBot="1" x14ac:dyDescent="0.3">
      <c r="A32" s="31" t="s">
        <v>104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6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94</v>
      </c>
      <c r="G33" s="68" t="s">
        <v>95</v>
      </c>
      <c r="H33" s="69" t="s">
        <v>96</v>
      </c>
      <c r="I33" s="69" t="s">
        <v>124</v>
      </c>
      <c r="J33" s="114" t="s">
        <v>151</v>
      </c>
      <c r="K33" s="55"/>
    </row>
    <row r="34" spans="1:11" ht="15.75" thickBot="1" x14ac:dyDescent="0.3">
      <c r="A34" s="31" t="s">
        <v>104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6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94</v>
      </c>
      <c r="G35" s="68" t="s">
        <v>95</v>
      </c>
      <c r="H35" s="69" t="s">
        <v>96</v>
      </c>
      <c r="I35" s="69" t="s">
        <v>124</v>
      </c>
      <c r="J35" s="114" t="s">
        <v>151</v>
      </c>
      <c r="K35" s="55"/>
    </row>
    <row r="36" spans="1:11" ht="15" customHeight="1" thickBot="1" x14ac:dyDescent="0.3">
      <c r="A36" s="31" t="s">
        <v>104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6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94</v>
      </c>
      <c r="G37" s="68" t="s">
        <v>95</v>
      </c>
      <c r="H37" s="69" t="s">
        <v>96</v>
      </c>
      <c r="I37" s="69" t="s">
        <v>124</v>
      </c>
      <c r="J37" s="114" t="s">
        <v>151</v>
      </c>
      <c r="K37" s="55"/>
    </row>
    <row r="38" spans="1:11" ht="15.75" thickBot="1" x14ac:dyDescent="0.3">
      <c r="A38" s="31" t="s">
        <v>104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6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94</v>
      </c>
      <c r="G39" s="68" t="s">
        <v>95</v>
      </c>
      <c r="H39" s="69" t="s">
        <v>96</v>
      </c>
      <c r="I39" s="69" t="s">
        <v>124</v>
      </c>
      <c r="J39" s="114" t="s">
        <v>151</v>
      </c>
      <c r="K39" s="55"/>
    </row>
    <row r="40" spans="1:11" ht="15.75" thickBot="1" x14ac:dyDescent="0.3">
      <c r="A40" s="31" t="s">
        <v>104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6">
        <v>15200</v>
      </c>
      <c r="K40" s="11">
        <v>15200</v>
      </c>
    </row>
    <row r="41" spans="1:11" ht="15.75" x14ac:dyDescent="0.25">
      <c r="A41" s="32" t="s">
        <v>67</v>
      </c>
      <c r="B41" s="114"/>
      <c r="C41" s="115"/>
      <c r="D41" s="115"/>
      <c r="E41" s="116"/>
      <c r="F41" s="68" t="s">
        <v>94</v>
      </c>
      <c r="G41" s="68" t="s">
        <v>95</v>
      </c>
      <c r="H41" s="69" t="s">
        <v>96</v>
      </c>
      <c r="I41" s="69" t="s">
        <v>124</v>
      </c>
      <c r="J41" s="114" t="s">
        <v>151</v>
      </c>
      <c r="K41" s="55"/>
    </row>
    <row r="42" spans="1:11" ht="15.75" thickBot="1" x14ac:dyDescent="0.3">
      <c r="A42" s="33" t="s">
        <v>104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6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94</v>
      </c>
      <c r="G43" s="68" t="s">
        <v>95</v>
      </c>
      <c r="H43" s="69" t="s">
        <v>96</v>
      </c>
      <c r="I43" s="69" t="s">
        <v>124</v>
      </c>
      <c r="J43" s="114" t="s">
        <v>151</v>
      </c>
      <c r="K43" s="55"/>
    </row>
    <row r="44" spans="1:11" x14ac:dyDescent="0.25">
      <c r="A44" s="34" t="s">
        <v>105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6">
        <v>5300</v>
      </c>
      <c r="K44" s="11">
        <v>5300</v>
      </c>
    </row>
    <row r="45" spans="1:11" x14ac:dyDescent="0.25">
      <c r="A45" s="35" t="s">
        <v>106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6">
        <v>5300</v>
      </c>
      <c r="K45" s="11">
        <v>5300</v>
      </c>
    </row>
    <row r="46" spans="1:11" x14ac:dyDescent="0.25">
      <c r="A46" s="35" t="s">
        <v>107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6">
        <v>5300</v>
      </c>
      <c r="K46" s="11">
        <v>5300</v>
      </c>
    </row>
    <row r="47" spans="1:11" ht="15.75" thickBot="1" x14ac:dyDescent="0.3">
      <c r="A47" s="35" t="s">
        <v>108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6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94</v>
      </c>
      <c r="G48" s="68" t="s">
        <v>95</v>
      </c>
      <c r="H48" s="69" t="s">
        <v>96</v>
      </c>
      <c r="I48" s="69" t="s">
        <v>124</v>
      </c>
    </row>
    <row r="49" spans="1:10" ht="15" customHeight="1" x14ac:dyDescent="0.25">
      <c r="A49" s="31" t="s">
        <v>148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7"/>
    </row>
    <row r="50" spans="1:10" x14ac:dyDescent="0.25">
      <c r="A50" s="33" t="s">
        <v>109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7"/>
    </row>
    <row r="51" spans="1:10" x14ac:dyDescent="0.25">
      <c r="A51" s="33" t="s">
        <v>110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111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112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113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114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94</v>
      </c>
      <c r="G56" s="68" t="s">
        <v>95</v>
      </c>
      <c r="H56" s="69" t="s">
        <v>96</v>
      </c>
      <c r="I56" s="69" t="s">
        <v>124</v>
      </c>
    </row>
    <row r="57" spans="1:10" ht="15.75" thickBot="1" x14ac:dyDescent="0.3">
      <c r="A57" s="9" t="s">
        <v>115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116</v>
      </c>
      <c r="B58" s="114"/>
      <c r="C58" s="115"/>
      <c r="D58" s="115"/>
      <c r="E58" s="116"/>
      <c r="F58" s="68" t="s">
        <v>94</v>
      </c>
      <c r="G58" s="68" t="s">
        <v>95</v>
      </c>
      <c r="H58" s="69" t="s">
        <v>96</v>
      </c>
      <c r="I58" s="69" t="s">
        <v>124</v>
      </c>
    </row>
    <row r="59" spans="1:10" ht="15" customHeight="1" thickBot="1" x14ac:dyDescent="0.3">
      <c r="A59" s="37" t="s">
        <v>117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118</v>
      </c>
      <c r="B60" s="114"/>
      <c r="C60" s="115"/>
      <c r="D60" s="115"/>
      <c r="E60" s="116"/>
      <c r="F60" s="68" t="s">
        <v>94</v>
      </c>
      <c r="G60" s="68" t="s">
        <v>95</v>
      </c>
      <c r="H60" s="69" t="s">
        <v>96</v>
      </c>
      <c r="I60" s="69" t="s">
        <v>124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128</v>
      </c>
      <c r="C67" s="115"/>
      <c r="D67" s="115"/>
      <c r="E67" s="116"/>
      <c r="F67" s="68" t="s">
        <v>94</v>
      </c>
      <c r="G67" s="68" t="s">
        <v>95</v>
      </c>
      <c r="H67" s="69" t="s">
        <v>96</v>
      </c>
      <c r="I67" s="69" t="s">
        <v>124</v>
      </c>
    </row>
    <row r="68" spans="1:9" x14ac:dyDescent="0.25">
      <c r="A68" s="9" t="s">
        <v>119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146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234</v>
      </c>
      <c r="B70" s="114" t="s">
        <v>128</v>
      </c>
      <c r="C70" s="115"/>
      <c r="D70" s="115"/>
      <c r="E70" s="116"/>
      <c r="F70" s="68" t="s">
        <v>94</v>
      </c>
      <c r="G70" s="68" t="s">
        <v>95</v>
      </c>
      <c r="H70" s="69" t="s">
        <v>96</v>
      </c>
      <c r="I70" s="76" t="s">
        <v>124</v>
      </c>
    </row>
    <row r="71" spans="1:9" ht="15" customHeight="1" x14ac:dyDescent="0.25">
      <c r="A71" s="9" t="s">
        <v>120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147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233</v>
      </c>
      <c r="B73" s="114" t="s">
        <v>128</v>
      </c>
      <c r="C73" s="115"/>
      <c r="D73" s="115"/>
      <c r="E73" s="116"/>
      <c r="F73" s="68" t="s">
        <v>94</v>
      </c>
      <c r="G73" s="68" t="s">
        <v>95</v>
      </c>
      <c r="H73" s="69" t="s">
        <v>96</v>
      </c>
      <c r="I73" s="69" t="s">
        <v>124</v>
      </c>
    </row>
    <row r="74" spans="1:9" ht="15" customHeight="1" thickBot="1" x14ac:dyDescent="0.3">
      <c r="A74" s="6" t="s">
        <v>120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146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235</v>
      </c>
      <c r="B76" s="114" t="s">
        <v>128</v>
      </c>
      <c r="C76" s="115"/>
      <c r="D76" s="115"/>
      <c r="E76" s="116"/>
      <c r="F76" s="68" t="s">
        <v>94</v>
      </c>
      <c r="G76" s="68" t="s">
        <v>95</v>
      </c>
      <c r="H76" s="69" t="s">
        <v>96</v>
      </c>
      <c r="I76" s="69" t="s">
        <v>124</v>
      </c>
    </row>
    <row r="77" spans="1:9" ht="15" customHeight="1" x14ac:dyDescent="0.25">
      <c r="A77" s="33" t="s">
        <v>119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147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94</v>
      </c>
      <c r="G79" s="68" t="s">
        <v>95</v>
      </c>
      <c r="H79" s="69" t="s">
        <v>96</v>
      </c>
      <c r="I79" s="69" t="s">
        <v>124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145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150</v>
      </c>
      <c r="B84" s="114"/>
      <c r="C84" s="115"/>
      <c r="D84" s="115"/>
      <c r="E84" s="116"/>
      <c r="F84" s="68" t="s">
        <v>94</v>
      </c>
      <c r="G84" s="68" t="s">
        <v>95</v>
      </c>
      <c r="H84" s="69" t="s">
        <v>96</v>
      </c>
      <c r="I84" s="69" t="s">
        <v>124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128</v>
      </c>
      <c r="C86" s="115"/>
      <c r="D86" s="115"/>
      <c r="E86" s="116"/>
      <c r="F86" s="68" t="s">
        <v>94</v>
      </c>
      <c r="G86" s="68" t="s">
        <v>95</v>
      </c>
      <c r="H86" s="69" t="s">
        <v>96</v>
      </c>
      <c r="I86" s="69" t="s">
        <v>124</v>
      </c>
    </row>
    <row r="87" spans="1:9" x14ac:dyDescent="0.25">
      <c r="A87" s="45" t="s">
        <v>232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121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143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122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144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128</v>
      </c>
      <c r="C92" s="127"/>
      <c r="D92" s="127"/>
      <c r="E92" s="128"/>
      <c r="F92" s="129" t="s">
        <v>94</v>
      </c>
      <c r="G92" s="129" t="s">
        <v>95</v>
      </c>
      <c r="H92" s="130" t="s">
        <v>96</v>
      </c>
      <c r="I92" s="130" t="s">
        <v>124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128</v>
      </c>
      <c r="C96" s="115"/>
      <c r="D96" s="115"/>
      <c r="E96" s="116"/>
      <c r="F96" s="68" t="s">
        <v>94</v>
      </c>
      <c r="G96" s="68" t="s">
        <v>95</v>
      </c>
      <c r="H96" s="69" t="s">
        <v>96</v>
      </c>
      <c r="I96" s="69" t="s">
        <v>124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128</v>
      </c>
      <c r="C100" s="115"/>
      <c r="D100" s="115"/>
      <c r="E100" s="116"/>
      <c r="F100" s="68" t="s">
        <v>94</v>
      </c>
      <c r="G100" s="68" t="s">
        <v>95</v>
      </c>
      <c r="H100" s="69" t="s">
        <v>96</v>
      </c>
      <c r="I100" s="69" t="s">
        <v>124</v>
      </c>
    </row>
    <row r="101" spans="1:9" ht="15.75" customHeight="1" x14ac:dyDescent="0.25">
      <c r="A101" s="49" t="s">
        <v>44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45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69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74</v>
      </c>
      <c r="B104" s="114" t="s">
        <v>149</v>
      </c>
      <c r="C104" s="115"/>
      <c r="D104" s="115"/>
      <c r="E104" s="116"/>
      <c r="F104" s="81" t="s">
        <v>94</v>
      </c>
      <c r="G104" s="81" t="s">
        <v>95</v>
      </c>
      <c r="H104" s="69" t="s">
        <v>96</v>
      </c>
      <c r="I104" s="69" t="s">
        <v>124</v>
      </c>
    </row>
    <row r="105" spans="1:9" ht="15.75" x14ac:dyDescent="0.25">
      <c r="A105" s="13" t="s">
        <v>70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71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72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73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75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139</v>
      </c>
      <c r="B110" s="114" t="s">
        <v>151</v>
      </c>
      <c r="C110" s="115"/>
      <c r="D110" s="115"/>
      <c r="E110" s="116"/>
      <c r="F110" s="81" t="s">
        <v>94</v>
      </c>
      <c r="G110" s="81" t="s">
        <v>95</v>
      </c>
      <c r="H110" s="69" t="s">
        <v>96</v>
      </c>
      <c r="I110" s="69" t="s">
        <v>124</v>
      </c>
    </row>
    <row r="111" spans="1:9" ht="15.75" x14ac:dyDescent="0.25">
      <c r="A111" s="16" t="s">
        <v>140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141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142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76</v>
      </c>
      <c r="B114" s="114" t="s">
        <v>151</v>
      </c>
      <c r="C114" s="115"/>
      <c r="D114" s="115"/>
      <c r="E114" s="116"/>
      <c r="F114" s="81" t="s">
        <v>94</v>
      </c>
      <c r="G114" s="81" t="s">
        <v>95</v>
      </c>
      <c r="H114" s="69" t="s">
        <v>96</v>
      </c>
      <c r="I114" s="69" t="s">
        <v>124</v>
      </c>
    </row>
    <row r="115" spans="1:9" ht="15.75" x14ac:dyDescent="0.25">
      <c r="A115" s="16" t="s">
        <v>77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78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79</v>
      </c>
      <c r="B117" s="114" t="s">
        <v>151</v>
      </c>
      <c r="C117" s="115"/>
      <c r="D117" s="115"/>
      <c r="E117" s="116"/>
      <c r="F117" s="81" t="s">
        <v>94</v>
      </c>
      <c r="G117" s="81" t="s">
        <v>95</v>
      </c>
      <c r="H117" s="69" t="s">
        <v>96</v>
      </c>
      <c r="I117" s="69" t="s">
        <v>124</v>
      </c>
    </row>
    <row r="118" spans="1:9" ht="15.75" x14ac:dyDescent="0.25">
      <c r="A118" s="16" t="s">
        <v>80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81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82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83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84</v>
      </c>
      <c r="B122" s="114" t="s">
        <v>151</v>
      </c>
      <c r="C122" s="115"/>
      <c r="D122" s="115"/>
      <c r="E122" s="116"/>
      <c r="F122" s="81" t="s">
        <v>94</v>
      </c>
      <c r="G122" s="81" t="s">
        <v>95</v>
      </c>
      <c r="H122" s="69" t="s">
        <v>96</v>
      </c>
      <c r="I122" s="69" t="s">
        <v>124</v>
      </c>
    </row>
    <row r="123" spans="1:9" ht="15.75" x14ac:dyDescent="0.25">
      <c r="A123" s="16" t="s">
        <v>85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86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87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9" t="s">
        <v>88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1" t="s">
        <v>92</v>
      </c>
      <c r="B127" s="138" t="s">
        <v>151</v>
      </c>
      <c r="C127" s="127"/>
      <c r="D127" s="127"/>
      <c r="E127" s="128"/>
      <c r="F127" s="129" t="s">
        <v>94</v>
      </c>
      <c r="G127" s="129" t="s">
        <v>95</v>
      </c>
      <c r="H127" s="130" t="s">
        <v>96</v>
      </c>
      <c r="I127" s="130" t="s">
        <v>124</v>
      </c>
    </row>
    <row r="128" spans="1:9" ht="15.75" x14ac:dyDescent="0.25">
      <c r="A128" s="140" t="s">
        <v>89</v>
      </c>
      <c r="B128" s="136">
        <v>661862</v>
      </c>
      <c r="C128" s="136">
        <v>330931</v>
      </c>
      <c r="D128" s="136">
        <v>330931</v>
      </c>
      <c r="E128" s="136">
        <v>330931</v>
      </c>
      <c r="F128" s="126">
        <f t="shared" si="10"/>
        <v>463303.39999999997</v>
      </c>
      <c r="G128" s="126">
        <f t="shared" si="11"/>
        <v>397117.2</v>
      </c>
      <c r="H128" s="136">
        <v>183523</v>
      </c>
      <c r="I128" s="136">
        <v>183523</v>
      </c>
    </row>
    <row r="129" spans="1:9" ht="15.75" x14ac:dyDescent="0.25">
      <c r="A129" s="18" t="s">
        <v>90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5" t="s">
        <v>91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7" t="s">
        <v>162</v>
      </c>
      <c r="B131" s="138"/>
      <c r="C131" s="127"/>
      <c r="D131" s="127"/>
      <c r="E131" s="128"/>
      <c r="F131" s="129"/>
      <c r="G131" s="129" t="s">
        <v>95</v>
      </c>
      <c r="H131" s="130" t="s">
        <v>96</v>
      </c>
      <c r="I131" s="130" t="s">
        <v>124</v>
      </c>
    </row>
    <row r="132" spans="1:9" x14ac:dyDescent="0.25">
      <c r="A132" s="142" t="s">
        <v>47</v>
      </c>
      <c r="B132" s="136"/>
      <c r="C132" s="136"/>
      <c r="D132" s="136"/>
      <c r="E132" s="136"/>
      <c r="F132" s="136"/>
      <c r="G132" s="92">
        <v>99890</v>
      </c>
      <c r="H132" s="136"/>
      <c r="I132" s="143"/>
    </row>
    <row r="133" spans="1:9" x14ac:dyDescent="0.25">
      <c r="A133" s="144" t="s">
        <v>48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5">
        <f>+$G$133</f>
        <v>49945</v>
      </c>
    </row>
    <row r="134" spans="1:9" x14ac:dyDescent="0.25">
      <c r="A134" s="144" t="s">
        <v>49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5">
        <f>+$G$134</f>
        <v>95529</v>
      </c>
    </row>
    <row r="135" spans="1:9" x14ac:dyDescent="0.25">
      <c r="A135" s="144" t="s">
        <v>50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5">
        <f>+$G$135</f>
        <v>90026</v>
      </c>
    </row>
    <row r="136" spans="1:9" hidden="1" x14ac:dyDescent="0.25">
      <c r="A136" s="144" t="s">
        <v>51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5"/>
    </row>
    <row r="137" spans="1:9" hidden="1" x14ac:dyDescent="0.25">
      <c r="A137" s="144" t="s">
        <v>66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5"/>
    </row>
    <row r="138" spans="1:9" hidden="1" x14ac:dyDescent="0.25">
      <c r="A138" s="144" t="s">
        <v>64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5"/>
    </row>
    <row r="139" spans="1:9" hidden="1" x14ac:dyDescent="0.25">
      <c r="A139" s="144" t="s">
        <v>52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5"/>
    </row>
    <row r="140" spans="1:9" hidden="1" x14ac:dyDescent="0.25">
      <c r="A140" s="144" t="s">
        <v>53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5"/>
    </row>
    <row r="141" spans="1:9" hidden="1" x14ac:dyDescent="0.25">
      <c r="A141" s="144" t="s">
        <v>54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5"/>
    </row>
    <row r="142" spans="1:9" hidden="1" x14ac:dyDescent="0.25">
      <c r="A142" s="144" t="s">
        <v>68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5"/>
    </row>
    <row r="143" spans="1:9" hidden="1" x14ac:dyDescent="0.25">
      <c r="A143" s="144" t="s">
        <v>55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5"/>
    </row>
    <row r="144" spans="1:9" hidden="1" x14ac:dyDescent="0.25">
      <c r="A144" s="144" t="s">
        <v>56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5"/>
    </row>
    <row r="145" spans="1:9" hidden="1" x14ac:dyDescent="0.25">
      <c r="A145" s="144" t="s">
        <v>57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5"/>
    </row>
    <row r="146" spans="1:9" hidden="1" x14ac:dyDescent="0.25">
      <c r="A146" s="144" t="s">
        <v>58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5"/>
    </row>
    <row r="147" spans="1:9" hidden="1" x14ac:dyDescent="0.25">
      <c r="A147" s="144" t="s">
        <v>59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5"/>
    </row>
    <row r="148" spans="1:9" hidden="1" x14ac:dyDescent="0.25">
      <c r="A148" s="144" t="s">
        <v>60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5"/>
    </row>
    <row r="149" spans="1:9" hidden="1" x14ac:dyDescent="0.25">
      <c r="A149" s="144" t="s">
        <v>61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5"/>
    </row>
    <row r="150" spans="1:9" x14ac:dyDescent="0.25">
      <c r="A150" s="146" t="s">
        <v>223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7">
        <f t="shared" si="13"/>
        <v>17756</v>
      </c>
    </row>
    <row r="151" spans="1:9" x14ac:dyDescent="0.25">
      <c r="A151" s="146" t="s">
        <v>185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7">
        <f t="shared" si="13"/>
        <v>17756</v>
      </c>
    </row>
    <row r="152" spans="1:9" x14ac:dyDescent="0.25">
      <c r="A152" s="146" t="s">
        <v>64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7">
        <f t="shared" si="13"/>
        <v>17756</v>
      </c>
    </row>
    <row r="153" spans="1:9" x14ac:dyDescent="0.25">
      <c r="A153" s="146" t="s">
        <v>52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7">
        <f t="shared" si="13"/>
        <v>17756</v>
      </c>
    </row>
    <row r="154" spans="1:9" x14ac:dyDescent="0.25">
      <c r="A154" s="146" t="s">
        <v>221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7">
        <f>+$G$154</f>
        <v>35512</v>
      </c>
    </row>
    <row r="155" spans="1:9" x14ac:dyDescent="0.25">
      <c r="A155" s="146" t="s">
        <v>53</v>
      </c>
      <c r="B155" s="110"/>
      <c r="C155" s="110"/>
      <c r="D155" s="110"/>
      <c r="E155" s="110"/>
      <c r="F155" s="110"/>
      <c r="G155" s="97">
        <v>12772</v>
      </c>
      <c r="H155" s="110"/>
      <c r="I155" s="148"/>
    </row>
    <row r="156" spans="1:9" x14ac:dyDescent="0.25">
      <c r="A156" s="146" t="s">
        <v>54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8">
        <f>+$G$156</f>
        <v>14226</v>
      </c>
    </row>
    <row r="157" spans="1:9" x14ac:dyDescent="0.25">
      <c r="A157" s="146" t="s">
        <v>68</v>
      </c>
      <c r="B157" s="110"/>
      <c r="C157" s="110"/>
      <c r="D157" s="110"/>
      <c r="E157" s="110"/>
      <c r="F157" s="110"/>
      <c r="G157" s="97">
        <v>14329</v>
      </c>
      <c r="H157" s="110"/>
      <c r="I157" s="148"/>
    </row>
    <row r="158" spans="1:9" x14ac:dyDescent="0.25">
      <c r="A158" s="146" t="s">
        <v>55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8">
        <f>+$G$158</f>
        <v>21390</v>
      </c>
    </row>
    <row r="159" spans="1:9" x14ac:dyDescent="0.25">
      <c r="A159" s="146" t="s">
        <v>56</v>
      </c>
      <c r="B159" s="110"/>
      <c r="C159" s="110"/>
      <c r="D159" s="110"/>
      <c r="E159" s="110"/>
      <c r="F159" s="110"/>
      <c r="G159" s="97">
        <v>18067</v>
      </c>
      <c r="H159" s="110"/>
      <c r="I159" s="148"/>
    </row>
    <row r="160" spans="1:9" x14ac:dyDescent="0.25">
      <c r="A160" s="146" t="s">
        <v>222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8">
        <f>+$G$160</f>
        <v>36134</v>
      </c>
    </row>
    <row r="161" spans="1:12" x14ac:dyDescent="0.25">
      <c r="A161" s="146" t="s">
        <v>188</v>
      </c>
      <c r="B161" s="110"/>
      <c r="C161" s="110"/>
      <c r="D161" s="110"/>
      <c r="E161" s="110"/>
      <c r="F161" s="110"/>
      <c r="G161" s="97">
        <v>17029</v>
      </c>
      <c r="H161" s="110"/>
      <c r="I161" s="148"/>
    </row>
    <row r="162" spans="1:12" x14ac:dyDescent="0.25">
      <c r="A162" s="146" t="s">
        <v>224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8">
        <f>+$G$161</f>
        <v>17029</v>
      </c>
    </row>
    <row r="163" spans="1:12" x14ac:dyDescent="0.25">
      <c r="A163" s="146" t="s">
        <v>178</v>
      </c>
      <c r="B163" s="110"/>
      <c r="C163" s="110"/>
      <c r="D163" s="110"/>
      <c r="E163" s="110"/>
      <c r="F163" s="110"/>
      <c r="G163" s="97">
        <v>17237</v>
      </c>
      <c r="H163" s="110"/>
      <c r="I163" s="148"/>
    </row>
    <row r="164" spans="1:12" x14ac:dyDescent="0.25">
      <c r="A164" s="146" t="s">
        <v>60</v>
      </c>
      <c r="B164" s="110"/>
      <c r="C164" s="110"/>
      <c r="D164" s="110"/>
      <c r="E164" s="110"/>
      <c r="F164" s="110"/>
      <c r="G164" s="97">
        <v>20560</v>
      </c>
      <c r="H164" s="110"/>
      <c r="I164" s="148"/>
    </row>
    <row r="165" spans="1:12" x14ac:dyDescent="0.25">
      <c r="A165" s="146" t="s">
        <v>61</v>
      </c>
      <c r="B165" s="110"/>
      <c r="C165" s="110"/>
      <c r="D165" s="110"/>
      <c r="E165" s="110"/>
      <c r="F165" s="110"/>
      <c r="G165" s="97">
        <v>14952</v>
      </c>
      <c r="H165" s="110"/>
      <c r="I165" s="148"/>
    </row>
    <row r="166" spans="1:12" x14ac:dyDescent="0.25">
      <c r="A166" s="146" t="s">
        <v>220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8">
        <f>+$G$166</f>
        <v>29904</v>
      </c>
    </row>
    <row r="167" spans="1:12" x14ac:dyDescent="0.25">
      <c r="A167" s="144" t="s">
        <v>62</v>
      </c>
      <c r="B167" s="65"/>
      <c r="C167" s="65"/>
      <c r="D167" s="65"/>
      <c r="E167" s="65"/>
      <c r="F167" s="65"/>
      <c r="G167" s="70">
        <v>36239</v>
      </c>
      <c r="H167" s="65"/>
      <c r="I167" s="145"/>
    </row>
    <row r="168" spans="1:12" x14ac:dyDescent="0.25">
      <c r="A168" s="144" t="s">
        <v>63</v>
      </c>
      <c r="B168" s="65"/>
      <c r="C168" s="65"/>
      <c r="D168" s="65"/>
      <c r="E168" s="65"/>
      <c r="F168" s="65"/>
      <c r="G168" s="70">
        <v>38835</v>
      </c>
      <c r="H168" s="65"/>
      <c r="I168" s="145"/>
    </row>
    <row r="169" spans="1:12" ht="15.75" thickBot="1" x14ac:dyDescent="0.3">
      <c r="A169" s="146" t="s">
        <v>65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49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95</v>
      </c>
      <c r="H171" s="95" t="s">
        <v>96</v>
      </c>
      <c r="I171" s="96" t="s">
        <v>124</v>
      </c>
      <c r="J171" s="158"/>
      <c r="K171" s="61" t="s">
        <v>154</v>
      </c>
      <c r="L171" s="66">
        <v>12000</v>
      </c>
    </row>
    <row r="172" spans="1:12" s="12" customFormat="1" ht="15.75" x14ac:dyDescent="0.25">
      <c r="A172" s="9" t="s">
        <v>161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8"/>
    </row>
    <row r="173" spans="1:12" s="12" customFormat="1" ht="15.75" x14ac:dyDescent="0.25">
      <c r="A173" s="9" t="s">
        <v>160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8"/>
      <c r="K173" s="61" t="s">
        <v>129</v>
      </c>
      <c r="L173" s="66">
        <v>22000</v>
      </c>
    </row>
    <row r="174" spans="1:12" s="12" customFormat="1" ht="15.75" x14ac:dyDescent="0.25">
      <c r="A174" s="9" t="s">
        <v>210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8"/>
    </row>
    <row r="175" spans="1:12" s="12" customFormat="1" ht="15.75" x14ac:dyDescent="0.25">
      <c r="A175" s="9" t="s">
        <v>211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8"/>
    </row>
    <row r="176" spans="1:12" s="12" customFormat="1" ht="15.75" x14ac:dyDescent="0.25">
      <c r="A176" s="9" t="s">
        <v>212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8"/>
    </row>
    <row r="177" spans="1:12" s="12" customFormat="1" ht="15.75" x14ac:dyDescent="0.25">
      <c r="A177" s="9" t="s">
        <v>213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8"/>
    </row>
    <row r="178" spans="1:12" s="12" customFormat="1" ht="15.75" x14ac:dyDescent="0.25">
      <c r="A178" s="9" t="s">
        <v>214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8"/>
    </row>
    <row r="179" spans="1:12" s="12" customFormat="1" ht="15.75" x14ac:dyDescent="0.25">
      <c r="A179" s="9" t="s">
        <v>215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8"/>
    </row>
    <row r="180" spans="1:12" s="12" customFormat="1" ht="15.75" x14ac:dyDescent="0.25">
      <c r="A180" s="9" t="s">
        <v>216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8"/>
    </row>
    <row r="181" spans="1:12" s="12" customFormat="1" ht="15.75" x14ac:dyDescent="0.25">
      <c r="A181" s="9" t="s">
        <v>163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8"/>
    </row>
    <row r="182" spans="1:12" s="12" customFormat="1" ht="15.75" x14ac:dyDescent="0.25">
      <c r="A182" s="9" t="s">
        <v>217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8"/>
    </row>
    <row r="183" spans="1:12" s="12" customFormat="1" ht="15.75" x14ac:dyDescent="0.25">
      <c r="A183" s="9" t="s">
        <v>218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8"/>
    </row>
    <row r="184" spans="1:12" s="12" customFormat="1" ht="16.5" thickBot="1" x14ac:dyDescent="0.3">
      <c r="A184" s="10" t="s">
        <v>219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8"/>
    </row>
    <row r="185" spans="1:12" s="12" customFormat="1" ht="16.5" hidden="1" thickBot="1" x14ac:dyDescent="0.3">
      <c r="A185" s="23" t="s">
        <v>131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8"/>
    </row>
    <row r="186" spans="1:12" s="12" customFormat="1" ht="16.5" hidden="1" thickBot="1" x14ac:dyDescent="0.3">
      <c r="A186" s="19" t="s">
        <v>130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8"/>
    </row>
    <row r="187" spans="1:12" ht="16.5" thickBot="1" x14ac:dyDescent="0.3">
      <c r="A187" s="87" t="s">
        <v>164</v>
      </c>
      <c r="B187" s="121"/>
      <c r="C187" s="122"/>
      <c r="D187" s="122"/>
      <c r="E187" s="95"/>
      <c r="F187" s="95"/>
      <c r="G187" s="95" t="s">
        <v>95</v>
      </c>
      <c r="H187" s="96" t="s">
        <v>96</v>
      </c>
      <c r="I187" s="96" t="s">
        <v>124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123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165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154</v>
      </c>
      <c r="L190" s="66">
        <v>16640</v>
      </c>
    </row>
    <row r="191" spans="1:12" x14ac:dyDescent="0.25">
      <c r="A191" s="9" t="s">
        <v>153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153</v>
      </c>
      <c r="L191" s="66">
        <v>9600</v>
      </c>
    </row>
    <row r="192" spans="1:12" x14ac:dyDescent="0.25">
      <c r="A192" s="9" t="s">
        <v>166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153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129</v>
      </c>
      <c r="L193" s="66">
        <v>32000</v>
      </c>
    </row>
    <row r="194" spans="1:12" x14ac:dyDescent="0.25">
      <c r="A194" s="9" t="s">
        <v>167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153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168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153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169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153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170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153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171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153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156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172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173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174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175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176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55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56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177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178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179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180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181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182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183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53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184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185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186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187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188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189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155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157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158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159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190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191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192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207</v>
      </c>
      <c r="L232" s="66">
        <v>106880</v>
      </c>
    </row>
    <row r="233" spans="1:12" x14ac:dyDescent="0.25">
      <c r="A233" s="9" t="s">
        <v>193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194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206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195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196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197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198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199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200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201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202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203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204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205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95</v>
      </c>
      <c r="H247" s="96" t="s">
        <v>96</v>
      </c>
      <c r="I247" s="96" t="s">
        <v>124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209</v>
      </c>
      <c r="B249" s="121"/>
      <c r="C249" s="95"/>
      <c r="D249" s="95"/>
      <c r="E249" s="95"/>
      <c r="F249" s="95" t="s">
        <v>94</v>
      </c>
      <c r="G249" s="95" t="s">
        <v>95</v>
      </c>
      <c r="H249" s="95" t="s">
        <v>96</v>
      </c>
      <c r="I249" s="96" t="s">
        <v>124</v>
      </c>
    </row>
    <row r="250" spans="1:9" ht="15.75" x14ac:dyDescent="0.25">
      <c r="A250" s="23" t="s">
        <v>135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136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137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208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138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  <row r="255" spans="1:9" ht="16.5" thickBot="1" x14ac:dyDescent="0.3">
      <c r="A255" s="87" t="s">
        <v>229</v>
      </c>
      <c r="B255" s="121"/>
      <c r="C255" s="95"/>
      <c r="D255" s="95"/>
      <c r="E255" s="95"/>
      <c r="F255" s="95" t="s">
        <v>94</v>
      </c>
      <c r="G255" s="95" t="s">
        <v>95</v>
      </c>
      <c r="H255" s="95" t="s">
        <v>96</v>
      </c>
      <c r="I255" s="96" t="s">
        <v>124</v>
      </c>
    </row>
    <row r="256" spans="1:9" ht="15.75" x14ac:dyDescent="0.25">
      <c r="A256" s="23" t="s">
        <v>230</v>
      </c>
      <c r="B256" s="84"/>
      <c r="C256" s="84"/>
      <c r="D256" s="84"/>
      <c r="E256" s="84"/>
      <c r="F256" s="102"/>
      <c r="G256" s="102">
        <v>35000</v>
      </c>
      <c r="H256" s="84">
        <f>+G256</f>
        <v>35000</v>
      </c>
      <c r="I256" s="103">
        <f>+G256</f>
        <v>35000</v>
      </c>
    </row>
    <row r="257" spans="1:9" ht="15.75" x14ac:dyDescent="0.25">
      <c r="A257" s="23" t="s">
        <v>231</v>
      </c>
      <c r="B257" s="82"/>
      <c r="C257" s="82"/>
      <c r="D257" s="82"/>
      <c r="E257" s="82"/>
      <c r="F257" s="83"/>
      <c r="G257" s="83">
        <v>35000</v>
      </c>
      <c r="H257" s="82">
        <f>+G257</f>
        <v>35000</v>
      </c>
      <c r="I257" s="98">
        <f>+G257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2026-09-14T17:48:50Z</dcterms:modified>
</cp:coreProperties>
</file>
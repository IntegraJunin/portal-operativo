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2026'!$A$47:$I$54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6" i="1" l="1"/>
  <c r="H236" i="1"/>
  <c r="I235" i="1"/>
  <c r="I234" i="1"/>
  <c r="H234" i="1"/>
  <c r="I233" i="1"/>
  <c r="H233" i="1"/>
  <c r="H235" i="1"/>
  <c r="I232" i="1"/>
  <c r="H232" i="1"/>
  <c r="I230" i="1"/>
  <c r="H230" i="1"/>
  <c r="G213" i="1" l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G223" i="1"/>
  <c r="H223" i="1"/>
  <c r="I223" i="1"/>
  <c r="G224" i="1"/>
  <c r="H224" i="1"/>
  <c r="I224" i="1"/>
  <c r="G225" i="1"/>
  <c r="H225" i="1"/>
  <c r="I225" i="1"/>
  <c r="G226" i="1"/>
  <c r="H226" i="1"/>
  <c r="I226" i="1"/>
  <c r="G227" i="1"/>
  <c r="H227" i="1"/>
  <c r="I227" i="1"/>
  <c r="G228" i="1"/>
  <c r="H228" i="1"/>
  <c r="I228" i="1"/>
  <c r="H212" i="1"/>
  <c r="I212" i="1"/>
  <c r="G212" i="1"/>
  <c r="G156" i="1"/>
  <c r="H156" i="1"/>
  <c r="I156" i="1"/>
  <c r="G157" i="1"/>
  <c r="H157" i="1"/>
  <c r="I157" i="1"/>
  <c r="G158" i="1"/>
  <c r="H158" i="1"/>
  <c r="I158" i="1"/>
  <c r="G159" i="1"/>
  <c r="H159" i="1"/>
  <c r="I159" i="1"/>
  <c r="G160" i="1"/>
  <c r="H160" i="1"/>
  <c r="I160" i="1"/>
  <c r="G161" i="1"/>
  <c r="H161" i="1"/>
  <c r="I161" i="1"/>
  <c r="G162" i="1"/>
  <c r="H162" i="1"/>
  <c r="I162" i="1"/>
  <c r="G163" i="1"/>
  <c r="H163" i="1"/>
  <c r="I163" i="1"/>
  <c r="G164" i="1"/>
  <c r="H164" i="1"/>
  <c r="I164" i="1"/>
  <c r="G165" i="1"/>
  <c r="H165" i="1"/>
  <c r="I165" i="1"/>
  <c r="G166" i="1"/>
  <c r="H166" i="1"/>
  <c r="H167" i="1" s="1"/>
  <c r="H168" i="1" s="1"/>
  <c r="I166" i="1"/>
  <c r="H154" i="1"/>
  <c r="I154" i="1"/>
  <c r="G154" i="1"/>
  <c r="G205" i="1"/>
  <c r="H205" i="1"/>
  <c r="I205" i="1"/>
  <c r="G206" i="1"/>
  <c r="H206" i="1"/>
  <c r="I206" i="1"/>
  <c r="G207" i="1"/>
  <c r="H207" i="1"/>
  <c r="I207" i="1"/>
  <c r="I204" i="1"/>
  <c r="H204" i="1"/>
  <c r="G204" i="1"/>
  <c r="G189" i="1"/>
  <c r="G194" i="1"/>
  <c r="H194" i="1"/>
  <c r="I194" i="1"/>
  <c r="G195" i="1"/>
  <c r="H195" i="1"/>
  <c r="I195" i="1"/>
  <c r="G196" i="1"/>
  <c r="H196" i="1"/>
  <c r="I196" i="1"/>
  <c r="G197" i="1"/>
  <c r="H197" i="1"/>
  <c r="I197" i="1"/>
  <c r="G198" i="1"/>
  <c r="H198" i="1"/>
  <c r="I198" i="1"/>
  <c r="G199" i="1"/>
  <c r="H199" i="1"/>
  <c r="I199" i="1"/>
  <c r="G200" i="1"/>
  <c r="H200" i="1"/>
  <c r="I200" i="1"/>
  <c r="G201" i="1"/>
  <c r="H201" i="1"/>
  <c r="I201" i="1"/>
  <c r="G202" i="1"/>
  <c r="H202" i="1"/>
  <c r="I202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G188" i="1"/>
  <c r="G190" i="1"/>
  <c r="G191" i="1"/>
  <c r="G192" i="1"/>
  <c r="G193" i="1"/>
  <c r="G187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G185" i="1"/>
  <c r="G183" i="1"/>
  <c r="G181" i="1"/>
  <c r="G179" i="1"/>
  <c r="G177" i="1"/>
  <c r="G175" i="1"/>
  <c r="G173" i="1"/>
  <c r="G172" i="1"/>
  <c r="G176" i="1"/>
  <c r="G178" i="1"/>
  <c r="G180" i="1"/>
  <c r="G182" i="1"/>
  <c r="G184" i="1"/>
  <c r="G174" i="1"/>
  <c r="I170" i="1"/>
  <c r="I186" i="1"/>
  <c r="I203" i="1"/>
  <c r="H203" i="1"/>
  <c r="H208" i="1"/>
  <c r="I208" i="1" s="1"/>
  <c r="H186" i="1"/>
  <c r="I155" i="1"/>
  <c r="H155" i="1"/>
  <c r="H211" i="1"/>
  <c r="I211" i="1" s="1"/>
  <c r="H210" i="1"/>
  <c r="I210" i="1" s="1"/>
  <c r="H209" i="1"/>
  <c r="I209" i="1" s="1"/>
  <c r="H171" i="1"/>
  <c r="I171" i="1" s="1"/>
  <c r="H170" i="1"/>
  <c r="G6" i="1"/>
  <c r="F6" i="1"/>
  <c r="I4" i="1"/>
  <c r="G15" i="1" l="1"/>
  <c r="G16" i="1"/>
  <c r="F16" i="1" l="1"/>
  <c r="F15" i="1"/>
  <c r="F151" i="1" l="1"/>
  <c r="G151" i="1"/>
  <c r="G105" i="1"/>
  <c r="G106" i="1"/>
  <c r="G107" i="1"/>
  <c r="G108" i="1"/>
  <c r="G110" i="1"/>
  <c r="G111" i="1"/>
  <c r="G112" i="1"/>
  <c r="G114" i="1"/>
  <c r="G115" i="1"/>
  <c r="G117" i="1"/>
  <c r="G118" i="1"/>
  <c r="G119" i="1"/>
  <c r="G120" i="1"/>
  <c r="G122" i="1"/>
  <c r="G123" i="1"/>
  <c r="G124" i="1"/>
  <c r="G125" i="1"/>
  <c r="G127" i="1"/>
  <c r="G128" i="1"/>
  <c r="G129" i="1"/>
  <c r="G104" i="1"/>
  <c r="F105" i="1"/>
  <c r="F106" i="1"/>
  <c r="F107" i="1"/>
  <c r="F108" i="1"/>
  <c r="F110" i="1"/>
  <c r="F111" i="1"/>
  <c r="F112" i="1"/>
  <c r="F114" i="1"/>
  <c r="F115" i="1"/>
  <c r="F117" i="1"/>
  <c r="F118" i="1"/>
  <c r="F119" i="1"/>
  <c r="F120" i="1"/>
  <c r="F122" i="1"/>
  <c r="F123" i="1"/>
  <c r="F124" i="1"/>
  <c r="F125" i="1"/>
  <c r="F127" i="1"/>
  <c r="F128" i="1"/>
  <c r="F129" i="1"/>
  <c r="F104" i="1"/>
  <c r="G101" i="1"/>
  <c r="G100" i="1"/>
  <c r="F101" i="1"/>
  <c r="F100" i="1"/>
  <c r="B97" i="1"/>
  <c r="H97" i="1" s="1"/>
  <c r="B98" i="1"/>
  <c r="H98" i="1" s="1"/>
  <c r="B96" i="1"/>
  <c r="H96" i="1" s="1"/>
  <c r="G87" i="1" l="1"/>
  <c r="G86" i="1"/>
  <c r="G88" i="1"/>
  <c r="G89" i="1"/>
  <c r="G90" i="1"/>
  <c r="G92" i="1"/>
  <c r="G93" i="1"/>
  <c r="G94" i="1"/>
  <c r="G96" i="1"/>
  <c r="G97" i="1"/>
  <c r="G98" i="1"/>
  <c r="F86" i="1"/>
  <c r="F87" i="1"/>
  <c r="F88" i="1"/>
  <c r="F89" i="1"/>
  <c r="F90" i="1"/>
  <c r="F92" i="1"/>
  <c r="F93" i="1"/>
  <c r="F94" i="1"/>
  <c r="F96" i="1"/>
  <c r="F97" i="1"/>
  <c r="F98" i="1"/>
  <c r="G71" i="1"/>
  <c r="G73" i="1"/>
  <c r="G74" i="1"/>
  <c r="G76" i="1"/>
  <c r="G77" i="1"/>
  <c r="G79" i="1"/>
  <c r="G80" i="1"/>
  <c r="G81" i="1"/>
  <c r="G82" i="1"/>
  <c r="F73" i="1"/>
  <c r="F74" i="1"/>
  <c r="F76" i="1"/>
  <c r="F77" i="1"/>
  <c r="F79" i="1"/>
  <c r="F80" i="1"/>
  <c r="F81" i="1"/>
  <c r="F82" i="1"/>
  <c r="F71" i="1"/>
  <c r="F70" i="1"/>
  <c r="G70" i="1"/>
  <c r="G68" i="1"/>
  <c r="F68" i="1"/>
  <c r="F67" i="1"/>
  <c r="G67" i="1"/>
  <c r="G61" i="1"/>
  <c r="G62" i="1"/>
  <c r="G63" i="1"/>
  <c r="G64" i="1"/>
  <c r="G60" i="1"/>
  <c r="F61" i="1"/>
  <c r="F62" i="1"/>
  <c r="F63" i="1"/>
  <c r="F64" i="1"/>
  <c r="F60" i="1"/>
  <c r="F58" i="1"/>
  <c r="G58" i="1"/>
  <c r="G49" i="1"/>
  <c r="G50" i="1"/>
  <c r="G51" i="1"/>
  <c r="G52" i="1"/>
  <c r="G53" i="1"/>
  <c r="G54" i="1"/>
  <c r="F49" i="1"/>
  <c r="F50" i="1"/>
  <c r="F51" i="1"/>
  <c r="F52" i="1"/>
  <c r="F53" i="1"/>
  <c r="F54" i="1"/>
  <c r="G48" i="1"/>
  <c r="F48" i="1"/>
  <c r="G44" i="1"/>
  <c r="G45" i="1"/>
  <c r="G46" i="1"/>
  <c r="G43" i="1"/>
  <c r="F44" i="1"/>
  <c r="F45" i="1"/>
  <c r="F46" i="1"/>
  <c r="F43" i="1"/>
  <c r="F41" i="1"/>
  <c r="F39" i="1"/>
  <c r="F37" i="1"/>
  <c r="F35" i="1"/>
  <c r="F33" i="1"/>
  <c r="F31" i="1"/>
  <c r="F29" i="1"/>
  <c r="F27" i="1"/>
  <c r="F25" i="1" l="1"/>
  <c r="G41" i="1" l="1"/>
  <c r="G132" i="1"/>
  <c r="B132" i="1" s="1"/>
  <c r="G133" i="1"/>
  <c r="B133" i="1" s="1"/>
  <c r="G134" i="1"/>
  <c r="B134" i="1" s="1"/>
  <c r="G135" i="1"/>
  <c r="B135" i="1" s="1"/>
  <c r="G136" i="1"/>
  <c r="B136" i="1" s="1"/>
  <c r="G137" i="1"/>
  <c r="B137" i="1" s="1"/>
  <c r="G138" i="1"/>
  <c r="B138" i="1" s="1"/>
  <c r="G139" i="1"/>
  <c r="B139" i="1" s="1"/>
  <c r="G140" i="1"/>
  <c r="B140" i="1" s="1"/>
  <c r="G141" i="1"/>
  <c r="B141" i="1" s="1"/>
  <c r="G142" i="1"/>
  <c r="B142" i="1" s="1"/>
  <c r="G143" i="1"/>
  <c r="B143" i="1" s="1"/>
  <c r="G144" i="1"/>
  <c r="B144" i="1" s="1"/>
  <c r="G145" i="1"/>
  <c r="B145" i="1" s="1"/>
  <c r="G146" i="1"/>
  <c r="B146" i="1" s="1"/>
  <c r="G147" i="1"/>
  <c r="B147" i="1" s="1"/>
  <c r="G148" i="1"/>
  <c r="B148" i="1" s="1"/>
  <c r="G149" i="1"/>
  <c r="B149" i="1" s="1"/>
  <c r="G150" i="1"/>
  <c r="B150" i="1" s="1"/>
  <c r="G131" i="1"/>
  <c r="B131" i="1" s="1"/>
  <c r="G39" i="1"/>
  <c r="G37" i="1"/>
  <c r="G35" i="1"/>
  <c r="G33" i="1"/>
  <c r="G31" i="1"/>
  <c r="G29" i="1"/>
  <c r="G27" i="1"/>
  <c r="G25" i="1"/>
  <c r="G19" i="1"/>
  <c r="G9" i="1"/>
  <c r="F146" i="1" l="1"/>
  <c r="F138" i="1"/>
  <c r="F137" i="1"/>
  <c r="F136" i="1"/>
  <c r="F145" i="1"/>
  <c r="F135" i="1"/>
  <c r="F144" i="1"/>
  <c r="F142" i="1"/>
  <c r="F134" i="1"/>
  <c r="F131" i="1"/>
  <c r="F141" i="1"/>
  <c r="F133" i="1"/>
  <c r="F148" i="1"/>
  <c r="F140" i="1"/>
  <c r="F132" i="1"/>
  <c r="F143" i="1"/>
  <c r="F150" i="1"/>
  <c r="F149" i="1"/>
  <c r="F147" i="1"/>
  <c r="F139" i="1"/>
</calcChain>
</file>

<file path=xl/comments1.xml><?xml version="1.0" encoding="utf-8"?>
<comments xmlns="http://schemas.openxmlformats.org/spreadsheetml/2006/main">
  <authors>
    <author>Administracion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8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A2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<sst xmlns="http://schemas.openxmlformats.org/spreadsheetml/2006/main" count="430" uniqueCount="226">
  <si>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</si>
  <si>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</si>
  <si>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</si>
  <si>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</si>
  <si>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</si>
  <si>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</si>
  <si>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</si>
  <si>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</si>
  <si>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</si>
  <si>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</si>
  <si>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</si>
  <si>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</si>
  <si>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</si>
  <si>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</si>
  <si>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</si>
  <si>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</si>
  <si>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</si>
  <si>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</si>
  <si>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</si>
  <si>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</si>
  <si>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</si>
  <si>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</si>
  <si>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</si>
  <si>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</si>
  <si>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</si>
  <si>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</si>
  <si>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</si>
  <si>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</si>
  <si>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</si>
  <si>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</si>
  <si>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</si>
  <si>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</si>
  <si>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</si>
  <si>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</si>
  <si>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</si>
  <si>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</si>
  <si>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</si>
  <si>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</si>
  <si>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</si>
  <si>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</si>
  <si>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</si>
  <si>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</si>
  <si>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</si>
  <si>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</si>
  <si>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</si>
  <si>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</si>
  <si>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</si>
  <si>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</si>
  <si>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</si>
  <si>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</si>
  <si>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</si>
  <si>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</si>
  <si>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</si>
  <si>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</si>
  <si>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</si>
  <si>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</si>
  <si>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</si>
  <si>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</si>
  <si>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</si>
  <si>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</si>
  <si>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</si>
  <si>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</si>
  <si>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</si>
  <si>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</si>
  <si>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</si>
  <si>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</si>
  <si>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</si>
  <si>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</si>
  <si>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</si>
  <si>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</si>
  <si>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</si>
  <si>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</si>
  <si>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</si>
  <si>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</si>
  <si>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</si>
  <si>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</si>
  <si>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</si>
  <si>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</si>
  <si>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</si>
  <si>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</si>
  <si>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</si>
  <si>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</si>
  <si>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</si>
  <si>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</si>
  <si>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</si>
  <si>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</si>
  <si>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</si>
  <si>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</si>
  <si>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</si>
  <si>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</si>
  <si>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</si>
  <si>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</si>
  <si>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</si>
  <si>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</si>
  <si>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</si>
  <si>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</si>
  <si>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</si>
  <si>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</si>
  <si>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</si>
  <si>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</si>
  <si>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</si>
  <si>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Cuotas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</si>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</sst>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5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8" fillId="0" borderId="7" xfId="0" applyFont="1" applyFill="1" applyBorder="1" applyAlignment="1">
      <alignment vertical="top" wrapText="1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6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36"/>
  <sheetViews>
    <sheetView tabSelected="1" topLeftCell="A223" zoomScale="90" zoomScaleNormal="90" workbookViewId="0">
      <selection activeCell="E176" sqref="E176"/>
    </sheetView>
  </sheetViews>
  <sheetFormatPr baseColWidth="10" defaultRowHeight="15" x14ac:dyDescent="0.25"/>
  <cols>
    <col min="1" max="1" width="58.28515625" bestFit="1" customWidth="1"/>
    <col min="2" max="2" width="14.28515625" style="70" bestFit="1" customWidth="1"/>
    <col min="3" max="4" width="9.85546875" style="70" bestFit="1" customWidth="1"/>
    <col min="5" max="5" width="10.42578125" style="70" bestFit="1" customWidth="1"/>
    <col min="6" max="7" width="11.5703125" style="70" bestFit="1" customWidth="1"/>
    <col min="8" max="9" width="12.5703125" style="70" customWidth="1"/>
    <col min="10" max="10" width="18" bestFit="1" customWidth="1"/>
    <col min="11" max="11" width="23.28515625" bestFit="1" customWidth="1"/>
  </cols>
  <sheetData>
    <row r="1" spans="1:11" ht="19.5" thickBot="1" x14ac:dyDescent="0.35">
      <c r="B1" s="134"/>
      <c r="C1" s="134"/>
      <c r="D1" s="134"/>
      <c r="E1" s="134"/>
      <c r="F1" s="134"/>
      <c r="G1" s="134"/>
      <c r="H1" s="134"/>
    </row>
    <row r="2" spans="1:11" ht="16.5" thickBot="1" x14ac:dyDescent="0.3">
      <c r="A2" s="20" t="s">
        <v>101</v>
      </c>
      <c r="B2" s="117"/>
      <c r="C2" s="118"/>
      <c r="D2" s="118"/>
      <c r="E2" s="119"/>
      <c r="F2" s="71" t="s">
        <v>98</v>
      </c>
      <c r="G2" s="71" t="s">
        <v>99</v>
      </c>
      <c r="H2" s="72" t="s">
        <v>100</v>
      </c>
      <c r="I2" s="72" t="s">
        <v>130</v>
      </c>
    </row>
    <row r="3" spans="1:11" x14ac:dyDescent="0.25">
      <c r="A3" s="8" t="s">
        <v>46</v>
      </c>
      <c r="B3" s="68"/>
      <c r="C3" s="68">
        <v>5550</v>
      </c>
      <c r="D3" s="68">
        <v>5550</v>
      </c>
      <c r="E3" s="68">
        <v>5550</v>
      </c>
      <c r="F3" s="76">
        <v>5550</v>
      </c>
      <c r="G3" s="68"/>
      <c r="H3" s="68">
        <v>4550</v>
      </c>
      <c r="I3" s="68">
        <v>5550</v>
      </c>
    </row>
    <row r="4" spans="1:11" x14ac:dyDescent="0.25">
      <c r="A4" s="9" t="s">
        <v>47</v>
      </c>
      <c r="B4" s="68"/>
      <c r="C4" s="68">
        <v>8500</v>
      </c>
      <c r="D4" s="68">
        <v>8500</v>
      </c>
      <c r="E4" s="68">
        <v>8500</v>
      </c>
      <c r="F4" s="68"/>
      <c r="G4" s="68"/>
      <c r="H4" s="68"/>
      <c r="I4" s="68">
        <f>+I3*2</f>
        <v>11100</v>
      </c>
    </row>
    <row r="5" spans="1:11" x14ac:dyDescent="0.25">
      <c r="A5" s="9" t="s">
        <v>158</v>
      </c>
      <c r="B5" s="68"/>
      <c r="C5" s="68">
        <v>20000</v>
      </c>
      <c r="D5" s="68">
        <v>20000</v>
      </c>
      <c r="E5" s="68">
        <v>30000</v>
      </c>
      <c r="F5" s="68">
        <v>15000</v>
      </c>
      <c r="G5" s="68">
        <v>30000</v>
      </c>
      <c r="H5" s="68"/>
      <c r="I5" s="68" t="s">
        <v>131</v>
      </c>
    </row>
    <row r="6" spans="1:11" ht="15.75" thickBot="1" x14ac:dyDescent="0.3">
      <c r="A6" s="9" t="s">
        <v>132</v>
      </c>
      <c r="B6" s="68"/>
      <c r="C6" s="68">
        <v>14000</v>
      </c>
      <c r="D6" s="68">
        <v>14000</v>
      </c>
      <c r="E6" s="68">
        <v>20000</v>
      </c>
      <c r="F6" s="73">
        <f>+F5/2</f>
        <v>7500</v>
      </c>
      <c r="G6" s="73">
        <f>+G5/2</f>
        <v>15000</v>
      </c>
      <c r="H6" s="68"/>
      <c r="I6" s="68"/>
    </row>
    <row r="7" spans="1:11" ht="16.5" thickBot="1" x14ac:dyDescent="0.3">
      <c r="A7" s="20" t="s">
        <v>102</v>
      </c>
      <c r="B7" s="117"/>
      <c r="C7" s="118"/>
      <c r="D7" s="118"/>
      <c r="E7" s="119"/>
      <c r="F7" s="71" t="s">
        <v>98</v>
      </c>
      <c r="G7" s="71" t="s">
        <v>99</v>
      </c>
      <c r="H7" s="72" t="s">
        <v>100</v>
      </c>
      <c r="I7" s="72" t="s">
        <v>130</v>
      </c>
      <c r="J7" s="117" t="s">
        <v>157</v>
      </c>
      <c r="K7" s="57"/>
    </row>
    <row r="8" spans="1:11" x14ac:dyDescent="0.25">
      <c r="A8" s="21" t="s">
        <v>103</v>
      </c>
      <c r="B8" s="68"/>
      <c r="C8" s="68"/>
      <c r="D8" s="68"/>
      <c r="E8" s="68"/>
      <c r="F8" s="68"/>
      <c r="G8" s="68"/>
      <c r="H8" s="68"/>
      <c r="I8" s="68"/>
      <c r="J8" s="11">
        <v>4800</v>
      </c>
      <c r="K8" s="11">
        <v>4800</v>
      </c>
    </row>
    <row r="9" spans="1:11" ht="15.75" thickBot="1" x14ac:dyDescent="0.3">
      <c r="A9" s="22" t="s">
        <v>41</v>
      </c>
      <c r="B9" s="68">
        <v>10000</v>
      </c>
      <c r="C9" s="68"/>
      <c r="D9" s="68"/>
      <c r="E9" s="68">
        <v>4200</v>
      </c>
      <c r="F9" s="68"/>
      <c r="G9" s="73">
        <f>+B9*0.6</f>
        <v>6000</v>
      </c>
      <c r="H9" s="68"/>
      <c r="I9" s="68"/>
      <c r="J9" s="11"/>
      <c r="K9" s="11"/>
    </row>
    <row r="10" spans="1:11" x14ac:dyDescent="0.25">
      <c r="A10" s="19" t="s">
        <v>138</v>
      </c>
      <c r="B10" s="68">
        <v>30000</v>
      </c>
      <c r="C10" s="68"/>
      <c r="D10" s="68"/>
      <c r="E10" s="68">
        <v>10000</v>
      </c>
      <c r="F10" s="68"/>
      <c r="G10" s="73">
        <v>15000</v>
      </c>
      <c r="H10" s="68"/>
      <c r="I10" s="68"/>
      <c r="J10" s="11"/>
      <c r="K10" s="11"/>
    </row>
    <row r="11" spans="1:11" x14ac:dyDescent="0.25">
      <c r="A11" s="23" t="s">
        <v>42</v>
      </c>
      <c r="B11" s="68">
        <v>25000</v>
      </c>
      <c r="C11" s="68"/>
      <c r="D11" s="68"/>
      <c r="E11" s="68">
        <v>8000</v>
      </c>
      <c r="F11" s="68"/>
      <c r="G11" s="73">
        <v>12000</v>
      </c>
      <c r="H11" s="68"/>
      <c r="I11" s="68"/>
      <c r="J11" s="11"/>
      <c r="K11" s="11"/>
    </row>
    <row r="12" spans="1:11" x14ac:dyDescent="0.25">
      <c r="A12" s="19" t="s">
        <v>139</v>
      </c>
      <c r="B12" s="68"/>
      <c r="C12" s="68"/>
      <c r="D12" s="68"/>
      <c r="E12" s="68">
        <v>17000</v>
      </c>
      <c r="F12" s="68"/>
      <c r="G12" s="74">
        <v>18000</v>
      </c>
      <c r="H12" s="68"/>
      <c r="I12" s="68"/>
      <c r="J12" s="11"/>
      <c r="K12" s="11"/>
    </row>
    <row r="13" spans="1:11" ht="15.75" thickBot="1" x14ac:dyDescent="0.3">
      <c r="A13" s="19" t="s">
        <v>140</v>
      </c>
      <c r="B13" s="68"/>
      <c r="C13" s="68"/>
      <c r="D13" s="68"/>
      <c r="E13" s="68">
        <v>18400</v>
      </c>
      <c r="F13" s="68"/>
      <c r="G13" s="74">
        <v>20000</v>
      </c>
      <c r="H13" s="68"/>
      <c r="I13" s="68"/>
      <c r="J13" s="11"/>
      <c r="K13" s="11"/>
    </row>
    <row r="14" spans="1:11" ht="15.75" customHeight="1" thickBot="1" x14ac:dyDescent="0.3">
      <c r="A14" s="1" t="s">
        <v>13</v>
      </c>
      <c r="B14" s="117"/>
      <c r="C14" s="118"/>
      <c r="D14" s="118"/>
      <c r="E14" s="119"/>
      <c r="F14" s="71" t="s">
        <v>98</v>
      </c>
      <c r="G14" s="71" t="s">
        <v>99</v>
      </c>
      <c r="H14" s="72" t="s">
        <v>100</v>
      </c>
      <c r="I14" s="72" t="s">
        <v>130</v>
      </c>
      <c r="J14" s="117" t="s">
        <v>157</v>
      </c>
      <c r="K14" s="60"/>
    </row>
    <row r="15" spans="1:11" x14ac:dyDescent="0.25">
      <c r="A15" s="24" t="s">
        <v>14</v>
      </c>
      <c r="B15" s="68">
        <v>88500</v>
      </c>
      <c r="C15" s="68"/>
      <c r="D15" s="68">
        <v>44800</v>
      </c>
      <c r="E15" s="68">
        <v>44800</v>
      </c>
      <c r="F15" s="73">
        <f>+B15*0.7</f>
        <v>61949.999999999993</v>
      </c>
      <c r="G15" s="73">
        <f>+B15*0.6</f>
        <v>53100</v>
      </c>
      <c r="H15" s="68">
        <v>14750</v>
      </c>
      <c r="I15" s="68">
        <v>0</v>
      </c>
      <c r="J15" s="11">
        <v>29500</v>
      </c>
      <c r="K15" s="11">
        <v>88500</v>
      </c>
    </row>
    <row r="16" spans="1:11" x14ac:dyDescent="0.25">
      <c r="A16" s="25" t="s">
        <v>15</v>
      </c>
      <c r="B16" s="68">
        <v>177000</v>
      </c>
      <c r="C16" s="68"/>
      <c r="D16" s="68">
        <v>88500</v>
      </c>
      <c r="E16" s="68">
        <v>88500</v>
      </c>
      <c r="F16" s="73">
        <f>+B16*0.7</f>
        <v>123899.99999999999</v>
      </c>
      <c r="G16" s="73">
        <f>+B16*0.6</f>
        <v>106200</v>
      </c>
      <c r="H16" s="68">
        <v>29500</v>
      </c>
      <c r="I16" s="68">
        <v>0</v>
      </c>
      <c r="J16" s="11">
        <v>59000</v>
      </c>
      <c r="K16" s="11">
        <v>177000</v>
      </c>
    </row>
    <row r="17" spans="1:11" ht="15.75" thickBot="1" x14ac:dyDescent="0.3">
      <c r="A17" s="58" t="s">
        <v>133</v>
      </c>
      <c r="B17" s="68"/>
      <c r="C17" s="68"/>
      <c r="D17" s="68"/>
      <c r="E17" s="68">
        <v>16000</v>
      </c>
      <c r="F17" s="68"/>
      <c r="G17" s="68"/>
      <c r="H17" s="68"/>
      <c r="I17" s="68"/>
      <c r="J17" s="11"/>
      <c r="K17" s="11"/>
    </row>
    <row r="18" spans="1:11" ht="16.5" thickBot="1" x14ac:dyDescent="0.3">
      <c r="A18" s="3" t="s">
        <v>20</v>
      </c>
      <c r="B18" s="117"/>
      <c r="C18" s="118"/>
      <c r="D18" s="118"/>
      <c r="E18" s="119"/>
      <c r="F18" s="71" t="s">
        <v>98</v>
      </c>
      <c r="G18" s="71" t="s">
        <v>99</v>
      </c>
      <c r="H18" s="72" t="s">
        <v>100</v>
      </c>
      <c r="I18" s="72" t="s">
        <v>130</v>
      </c>
    </row>
    <row r="19" spans="1:11" ht="15.75" thickBot="1" x14ac:dyDescent="0.3">
      <c r="A19" s="23" t="s">
        <v>104</v>
      </c>
      <c r="B19" s="68">
        <v>20000</v>
      </c>
      <c r="C19" s="68"/>
      <c r="D19" s="68"/>
      <c r="E19" s="68">
        <v>8000</v>
      </c>
      <c r="F19" s="75">
        <v>0</v>
      </c>
      <c r="G19" s="73">
        <f>+B19*0.6</f>
        <v>12000</v>
      </c>
      <c r="H19" s="68"/>
      <c r="I19" s="68"/>
    </row>
    <row r="20" spans="1:11" ht="15.75" customHeight="1" x14ac:dyDescent="0.25">
      <c r="A20" s="26" t="s">
        <v>16</v>
      </c>
      <c r="B20" s="117"/>
      <c r="C20" s="118"/>
      <c r="D20" s="118"/>
      <c r="E20" s="119"/>
      <c r="F20" s="71" t="s">
        <v>98</v>
      </c>
      <c r="G20" s="71" t="s">
        <v>99</v>
      </c>
      <c r="H20" s="72" t="s">
        <v>100</v>
      </c>
      <c r="I20" s="72" t="s">
        <v>130</v>
      </c>
      <c r="J20" s="117" t="s">
        <v>157</v>
      </c>
      <c r="K20" s="57"/>
    </row>
    <row r="21" spans="1:11" ht="15.75" thickBot="1" x14ac:dyDescent="0.3">
      <c r="A21" s="27" t="s">
        <v>105</v>
      </c>
      <c r="B21" s="68">
        <v>35000</v>
      </c>
      <c r="C21" s="68"/>
      <c r="D21" s="68">
        <v>20000</v>
      </c>
      <c r="E21" s="68">
        <v>20000</v>
      </c>
      <c r="F21" s="75">
        <v>0</v>
      </c>
      <c r="G21" s="73">
        <v>20000</v>
      </c>
      <c r="H21" s="68">
        <v>7000</v>
      </c>
      <c r="I21" s="68">
        <v>0</v>
      </c>
      <c r="J21" s="11">
        <v>35000</v>
      </c>
      <c r="K21" s="11">
        <v>35000</v>
      </c>
    </row>
    <row r="22" spans="1:11" ht="15.75" customHeight="1" thickBot="1" x14ac:dyDescent="0.3">
      <c r="A22" s="3" t="s">
        <v>27</v>
      </c>
      <c r="B22" s="117"/>
      <c r="C22" s="118"/>
      <c r="D22" s="118"/>
      <c r="E22" s="119"/>
      <c r="F22" s="71" t="s">
        <v>98</v>
      </c>
      <c r="G22" s="71" t="s">
        <v>99</v>
      </c>
      <c r="H22" s="72" t="s">
        <v>100</v>
      </c>
      <c r="I22" s="72" t="s">
        <v>130</v>
      </c>
      <c r="J22" s="117" t="s">
        <v>157</v>
      </c>
      <c r="K22" s="57"/>
    </row>
    <row r="23" spans="1:11" ht="15.75" thickBot="1" x14ac:dyDescent="0.3">
      <c r="A23" s="23" t="s">
        <v>104</v>
      </c>
      <c r="B23" s="68">
        <v>30000</v>
      </c>
      <c r="C23" s="68"/>
      <c r="D23" s="68">
        <v>8200</v>
      </c>
      <c r="E23" s="68">
        <v>10400</v>
      </c>
      <c r="F23" s="75">
        <v>18000</v>
      </c>
      <c r="G23" s="73">
        <v>15000</v>
      </c>
      <c r="H23" s="68">
        <v>4200</v>
      </c>
      <c r="I23" s="68">
        <v>0</v>
      </c>
      <c r="J23" s="11">
        <v>10400</v>
      </c>
      <c r="K23" s="11">
        <v>14600</v>
      </c>
    </row>
    <row r="24" spans="1:11" ht="16.5" thickBot="1" x14ac:dyDescent="0.3">
      <c r="A24" s="3" t="s">
        <v>106</v>
      </c>
      <c r="B24" s="117"/>
      <c r="C24" s="118"/>
      <c r="D24" s="118"/>
      <c r="E24" s="119"/>
      <c r="F24" s="71" t="s">
        <v>98</v>
      </c>
      <c r="G24" s="71" t="s">
        <v>99</v>
      </c>
      <c r="H24" s="72" t="s">
        <v>100</v>
      </c>
      <c r="I24" s="72" t="s">
        <v>130</v>
      </c>
      <c r="J24" s="117" t="s">
        <v>157</v>
      </c>
      <c r="K24" s="57"/>
    </row>
    <row r="25" spans="1:11" ht="15.75" thickBot="1" x14ac:dyDescent="0.3">
      <c r="A25" s="28" t="s">
        <v>105</v>
      </c>
      <c r="B25" s="68">
        <v>20000</v>
      </c>
      <c r="C25" s="68">
        <v>12600</v>
      </c>
      <c r="D25" s="68">
        <v>8200</v>
      </c>
      <c r="E25" s="68">
        <v>12600</v>
      </c>
      <c r="F25" s="75">
        <f>+B25*0.7</f>
        <v>14000</v>
      </c>
      <c r="G25" s="73">
        <f>+B25*0.6</f>
        <v>12000</v>
      </c>
      <c r="H25" s="68">
        <v>5400</v>
      </c>
      <c r="I25" s="68">
        <v>0</v>
      </c>
      <c r="J25" s="11">
        <v>17400</v>
      </c>
      <c r="K25" s="11">
        <v>17400</v>
      </c>
    </row>
    <row r="26" spans="1:11" ht="15.75" customHeight="1" thickBot="1" x14ac:dyDescent="0.3">
      <c r="A26" s="3" t="s">
        <v>96</v>
      </c>
      <c r="B26" s="117"/>
      <c r="C26" s="118"/>
      <c r="D26" s="118"/>
      <c r="E26" s="119"/>
      <c r="F26" s="71" t="s">
        <v>98</v>
      </c>
      <c r="G26" s="71" t="s">
        <v>99</v>
      </c>
      <c r="H26" s="72" t="s">
        <v>100</v>
      </c>
      <c r="I26" s="72" t="s">
        <v>130</v>
      </c>
      <c r="J26" s="117" t="s">
        <v>157</v>
      </c>
      <c r="K26" s="57"/>
    </row>
    <row r="27" spans="1:11" ht="15.75" thickBot="1" x14ac:dyDescent="0.3">
      <c r="A27" s="29" t="s">
        <v>107</v>
      </c>
      <c r="B27" s="68">
        <v>228334</v>
      </c>
      <c r="C27" s="68">
        <v>149000</v>
      </c>
      <c r="D27" s="68">
        <v>137000</v>
      </c>
      <c r="E27" s="68">
        <v>149000</v>
      </c>
      <c r="F27" s="75">
        <f>+B27*0.7</f>
        <v>159833.79999999999</v>
      </c>
      <c r="G27" s="73">
        <f>+B27*0.6</f>
        <v>137000.4</v>
      </c>
      <c r="H27" s="68">
        <v>74000</v>
      </c>
      <c r="I27" s="68">
        <v>74000</v>
      </c>
      <c r="J27" s="11">
        <v>199000</v>
      </c>
      <c r="K27" s="11">
        <v>199000</v>
      </c>
    </row>
    <row r="28" spans="1:11" ht="15.75" customHeight="1" thickBot="1" x14ac:dyDescent="0.3">
      <c r="A28" s="1" t="s">
        <v>43</v>
      </c>
      <c r="B28" s="117"/>
      <c r="C28" s="118"/>
      <c r="D28" s="118"/>
      <c r="E28" s="119"/>
      <c r="F28" s="71" t="s">
        <v>98</v>
      </c>
      <c r="G28" s="71" t="s">
        <v>99</v>
      </c>
      <c r="H28" s="72" t="s">
        <v>100</v>
      </c>
      <c r="I28" s="72" t="s">
        <v>130</v>
      </c>
      <c r="J28" s="117" t="s">
        <v>157</v>
      </c>
      <c r="K28" s="57"/>
    </row>
    <row r="29" spans="1:11" ht="15.75" thickBot="1" x14ac:dyDescent="0.3">
      <c r="A29" s="30" t="s">
        <v>108</v>
      </c>
      <c r="B29" s="68">
        <v>72000</v>
      </c>
      <c r="C29" s="68">
        <v>36700</v>
      </c>
      <c r="D29" s="68">
        <v>31000</v>
      </c>
      <c r="E29" s="68">
        <v>36700</v>
      </c>
      <c r="F29" s="75">
        <f>+B29*0.7</f>
        <v>50400</v>
      </c>
      <c r="G29" s="73">
        <f>+B29*0.6</f>
        <v>43200</v>
      </c>
      <c r="H29" s="68">
        <v>16800</v>
      </c>
      <c r="I29" s="68">
        <v>16800</v>
      </c>
      <c r="J29" s="11">
        <v>43400</v>
      </c>
      <c r="K29" s="11">
        <v>43400</v>
      </c>
    </row>
    <row r="30" spans="1:11" ht="18" customHeight="1" thickBot="1" x14ac:dyDescent="0.3">
      <c r="A30" s="1" t="s">
        <v>1</v>
      </c>
      <c r="B30" s="117"/>
      <c r="C30" s="118"/>
      <c r="D30" s="118"/>
      <c r="E30" s="119"/>
      <c r="F30" s="71" t="s">
        <v>98</v>
      </c>
      <c r="G30" s="71" t="s">
        <v>99</v>
      </c>
      <c r="H30" s="72" t="s">
        <v>100</v>
      </c>
      <c r="I30" s="72" t="s">
        <v>130</v>
      </c>
      <c r="J30" s="117" t="s">
        <v>157</v>
      </c>
      <c r="K30" s="57"/>
    </row>
    <row r="31" spans="1:11" ht="15" customHeight="1" thickBot="1" x14ac:dyDescent="0.3">
      <c r="A31" s="31" t="s">
        <v>109</v>
      </c>
      <c r="B31" s="68">
        <v>33000</v>
      </c>
      <c r="C31" s="68">
        <v>16600</v>
      </c>
      <c r="D31" s="68">
        <v>16600</v>
      </c>
      <c r="E31" s="68">
        <v>16600</v>
      </c>
      <c r="F31" s="75">
        <f>+B31*0.7</f>
        <v>23100</v>
      </c>
      <c r="G31" s="73">
        <f>+B31*0.6</f>
        <v>19800</v>
      </c>
      <c r="H31" s="68">
        <v>10800</v>
      </c>
      <c r="I31" s="68">
        <v>10800</v>
      </c>
      <c r="J31" s="11">
        <v>20300</v>
      </c>
      <c r="K31" s="11">
        <v>20300</v>
      </c>
    </row>
    <row r="32" spans="1:11" ht="16.5" thickBot="1" x14ac:dyDescent="0.3">
      <c r="A32" s="1" t="s">
        <v>39</v>
      </c>
      <c r="B32" s="117"/>
      <c r="C32" s="118"/>
      <c r="D32" s="118"/>
      <c r="E32" s="119"/>
      <c r="F32" s="71" t="s">
        <v>98</v>
      </c>
      <c r="G32" s="71" t="s">
        <v>99</v>
      </c>
      <c r="H32" s="72" t="s">
        <v>100</v>
      </c>
      <c r="I32" s="72" t="s">
        <v>130</v>
      </c>
      <c r="J32" s="117" t="s">
        <v>157</v>
      </c>
      <c r="K32" s="57"/>
    </row>
    <row r="33" spans="1:11" ht="15.75" thickBot="1" x14ac:dyDescent="0.3">
      <c r="A33" s="31" t="s">
        <v>109</v>
      </c>
      <c r="B33" s="68">
        <v>24600</v>
      </c>
      <c r="C33" s="68">
        <v>12500</v>
      </c>
      <c r="D33" s="68">
        <v>12500</v>
      </c>
      <c r="E33" s="68">
        <v>12500</v>
      </c>
      <c r="F33" s="75">
        <f>+B33*0.7</f>
        <v>17220</v>
      </c>
      <c r="G33" s="73">
        <f>+B33*0.6</f>
        <v>14760</v>
      </c>
      <c r="H33" s="68">
        <v>6300</v>
      </c>
      <c r="I33" s="68">
        <v>6300</v>
      </c>
      <c r="J33" s="11">
        <v>15200</v>
      </c>
      <c r="K33" s="11">
        <v>15200</v>
      </c>
    </row>
    <row r="34" spans="1:11" ht="15" customHeight="1" thickBot="1" x14ac:dyDescent="0.3">
      <c r="A34" s="1" t="s">
        <v>19</v>
      </c>
      <c r="B34" s="117"/>
      <c r="C34" s="118"/>
      <c r="D34" s="118"/>
      <c r="E34" s="119"/>
      <c r="F34" s="71" t="s">
        <v>98</v>
      </c>
      <c r="G34" s="71" t="s">
        <v>99</v>
      </c>
      <c r="H34" s="72" t="s">
        <v>100</v>
      </c>
      <c r="I34" s="72" t="s">
        <v>130</v>
      </c>
      <c r="J34" s="117" t="s">
        <v>157</v>
      </c>
      <c r="K34" s="57"/>
    </row>
    <row r="35" spans="1:11" ht="15" customHeight="1" thickBot="1" x14ac:dyDescent="0.3">
      <c r="A35" s="31" t="s">
        <v>109</v>
      </c>
      <c r="B35" s="68">
        <v>24600</v>
      </c>
      <c r="C35" s="68">
        <v>12500</v>
      </c>
      <c r="D35" s="68">
        <v>12500</v>
      </c>
      <c r="E35" s="68">
        <v>12500</v>
      </c>
      <c r="F35" s="75">
        <f>+B35*0.7</f>
        <v>17220</v>
      </c>
      <c r="G35" s="73">
        <f>+B35*0.6</f>
        <v>14760</v>
      </c>
      <c r="H35" s="68">
        <v>6300</v>
      </c>
      <c r="I35" s="68">
        <v>6300</v>
      </c>
      <c r="J35" s="11">
        <v>15200</v>
      </c>
      <c r="K35" s="11">
        <v>15200</v>
      </c>
    </row>
    <row r="36" spans="1:11" ht="15.75" customHeight="1" thickBot="1" x14ac:dyDescent="0.3">
      <c r="A36" s="1" t="s">
        <v>17</v>
      </c>
      <c r="B36" s="117"/>
      <c r="C36" s="118"/>
      <c r="D36" s="118"/>
      <c r="E36" s="119"/>
      <c r="F36" s="71" t="s">
        <v>98</v>
      </c>
      <c r="G36" s="71" t="s">
        <v>99</v>
      </c>
      <c r="H36" s="72" t="s">
        <v>100</v>
      </c>
      <c r="I36" s="72" t="s">
        <v>130</v>
      </c>
      <c r="J36" s="117" t="s">
        <v>157</v>
      </c>
      <c r="K36" s="57"/>
    </row>
    <row r="37" spans="1:11" ht="15.75" thickBot="1" x14ac:dyDescent="0.3">
      <c r="A37" s="31" t="s">
        <v>109</v>
      </c>
      <c r="B37" s="68">
        <v>24600</v>
      </c>
      <c r="C37" s="68">
        <v>12500</v>
      </c>
      <c r="D37" s="68">
        <v>12500</v>
      </c>
      <c r="E37" s="68">
        <v>12500</v>
      </c>
      <c r="F37" s="75">
        <f>+B37*0.7</f>
        <v>17220</v>
      </c>
      <c r="G37" s="73">
        <f>+B37*0.6</f>
        <v>14760</v>
      </c>
      <c r="H37" s="68">
        <v>6300</v>
      </c>
      <c r="I37" s="68">
        <v>6300</v>
      </c>
      <c r="J37" s="11">
        <v>15200</v>
      </c>
      <c r="K37" s="11">
        <v>15200</v>
      </c>
    </row>
    <row r="38" spans="1:11" ht="16.5" thickBot="1" x14ac:dyDescent="0.3">
      <c r="A38" s="1" t="s">
        <v>18</v>
      </c>
      <c r="B38" s="117"/>
      <c r="C38" s="118"/>
      <c r="D38" s="118"/>
      <c r="E38" s="119"/>
      <c r="F38" s="71" t="s">
        <v>98</v>
      </c>
      <c r="G38" s="71" t="s">
        <v>99</v>
      </c>
      <c r="H38" s="72" t="s">
        <v>100</v>
      </c>
      <c r="I38" s="72" t="s">
        <v>130</v>
      </c>
      <c r="J38" s="117" t="s">
        <v>157</v>
      </c>
      <c r="K38" s="57"/>
    </row>
    <row r="39" spans="1:11" ht="15.75" thickBot="1" x14ac:dyDescent="0.3">
      <c r="A39" s="31" t="s">
        <v>109</v>
      </c>
      <c r="B39" s="68">
        <v>24600</v>
      </c>
      <c r="C39" s="68">
        <v>12500</v>
      </c>
      <c r="D39" s="68">
        <v>12500</v>
      </c>
      <c r="E39" s="68">
        <v>12500</v>
      </c>
      <c r="F39" s="75">
        <f>+B39*0.7</f>
        <v>17220</v>
      </c>
      <c r="G39" s="73">
        <f>+B39*0.6</f>
        <v>14760</v>
      </c>
      <c r="H39" s="68">
        <v>6300</v>
      </c>
      <c r="I39" s="68">
        <v>6300</v>
      </c>
      <c r="J39" s="11">
        <v>15200</v>
      </c>
      <c r="K39" s="11">
        <v>15200</v>
      </c>
    </row>
    <row r="40" spans="1:11" ht="15.75" x14ac:dyDescent="0.25">
      <c r="A40" s="32" t="s">
        <v>68</v>
      </c>
      <c r="B40" s="117"/>
      <c r="C40" s="118"/>
      <c r="D40" s="118"/>
      <c r="E40" s="119"/>
      <c r="F40" s="71" t="s">
        <v>98</v>
      </c>
      <c r="G40" s="71" t="s">
        <v>99</v>
      </c>
      <c r="H40" s="72" t="s">
        <v>100</v>
      </c>
      <c r="I40" s="72" t="s">
        <v>130</v>
      </c>
      <c r="J40" s="117" t="s">
        <v>157</v>
      </c>
      <c r="K40" s="57"/>
    </row>
    <row r="41" spans="1:11" ht="15.75" thickBot="1" x14ac:dyDescent="0.3">
      <c r="A41" s="33" t="s">
        <v>109</v>
      </c>
      <c r="B41" s="68">
        <v>72000</v>
      </c>
      <c r="C41" s="68">
        <v>36700</v>
      </c>
      <c r="D41" s="68">
        <v>31000</v>
      </c>
      <c r="E41" s="68">
        <v>36700</v>
      </c>
      <c r="F41" s="75">
        <f>+B41*0.7</f>
        <v>50400</v>
      </c>
      <c r="G41" s="73">
        <f>+B41*0.6</f>
        <v>43200</v>
      </c>
      <c r="H41" s="68">
        <v>16800</v>
      </c>
      <c r="I41" s="68">
        <v>16800</v>
      </c>
      <c r="J41" s="11">
        <v>43400</v>
      </c>
      <c r="K41" s="11">
        <v>43400</v>
      </c>
    </row>
    <row r="42" spans="1:11" ht="15.75" customHeight="1" thickBot="1" x14ac:dyDescent="0.3">
      <c r="A42" s="2" t="s">
        <v>2</v>
      </c>
      <c r="B42" s="117"/>
      <c r="C42" s="118"/>
      <c r="D42" s="118"/>
      <c r="E42" s="119"/>
      <c r="F42" s="71" t="s">
        <v>98</v>
      </c>
      <c r="G42" s="71" t="s">
        <v>99</v>
      </c>
      <c r="H42" s="72" t="s">
        <v>100</v>
      </c>
      <c r="I42" s="72" t="s">
        <v>130</v>
      </c>
      <c r="J42" s="117" t="s">
        <v>157</v>
      </c>
      <c r="K42" s="57"/>
    </row>
    <row r="43" spans="1:11" x14ac:dyDescent="0.25">
      <c r="A43" s="34" t="s">
        <v>110</v>
      </c>
      <c r="B43" s="68">
        <v>12000</v>
      </c>
      <c r="C43" s="68">
        <v>4200</v>
      </c>
      <c r="D43" s="68">
        <v>0</v>
      </c>
      <c r="E43" s="68">
        <v>4200</v>
      </c>
      <c r="F43" s="75">
        <f>+B43*0.7</f>
        <v>8400</v>
      </c>
      <c r="G43" s="75">
        <f>+B43*0.6</f>
        <v>7200</v>
      </c>
      <c r="H43" s="68">
        <v>0</v>
      </c>
      <c r="I43" s="68">
        <v>0</v>
      </c>
      <c r="J43" s="11">
        <v>5300</v>
      </c>
      <c r="K43" s="11">
        <v>5300</v>
      </c>
    </row>
    <row r="44" spans="1:11" x14ac:dyDescent="0.25">
      <c r="A44" s="35" t="s">
        <v>111</v>
      </c>
      <c r="B44" s="68">
        <v>12000</v>
      </c>
      <c r="C44" s="68">
        <v>4200</v>
      </c>
      <c r="D44" s="68">
        <v>0</v>
      </c>
      <c r="E44" s="68">
        <v>4200</v>
      </c>
      <c r="F44" s="75">
        <f t="shared" ref="F44:F46" si="0">+B44*0.7</f>
        <v>8400</v>
      </c>
      <c r="G44" s="75">
        <f t="shared" ref="G44:G46" si="1">+B44*0.6</f>
        <v>7200</v>
      </c>
      <c r="H44" s="68">
        <v>0</v>
      </c>
      <c r="I44" s="68">
        <v>0</v>
      </c>
      <c r="J44" s="11">
        <v>5300</v>
      </c>
      <c r="K44" s="11">
        <v>5300</v>
      </c>
    </row>
    <row r="45" spans="1:11" x14ac:dyDescent="0.25">
      <c r="A45" s="35" t="s">
        <v>112</v>
      </c>
      <c r="B45" s="68">
        <v>12000</v>
      </c>
      <c r="C45" s="68">
        <v>4200</v>
      </c>
      <c r="D45" s="68">
        <v>0</v>
      </c>
      <c r="E45" s="68">
        <v>4200</v>
      </c>
      <c r="F45" s="75">
        <f t="shared" si="0"/>
        <v>8400</v>
      </c>
      <c r="G45" s="75">
        <f t="shared" si="1"/>
        <v>7200</v>
      </c>
      <c r="H45" s="68">
        <v>0</v>
      </c>
      <c r="I45" s="68">
        <v>0</v>
      </c>
      <c r="J45" s="11">
        <v>5300</v>
      </c>
      <c r="K45" s="11">
        <v>5300</v>
      </c>
    </row>
    <row r="46" spans="1:11" ht="15.75" thickBot="1" x14ac:dyDescent="0.3">
      <c r="A46" s="35" t="s">
        <v>113</v>
      </c>
      <c r="B46" s="68">
        <v>12000</v>
      </c>
      <c r="C46" s="68">
        <v>4200</v>
      </c>
      <c r="D46" s="68">
        <v>0</v>
      </c>
      <c r="E46" s="68">
        <v>4200</v>
      </c>
      <c r="F46" s="75">
        <f t="shared" si="0"/>
        <v>8400</v>
      </c>
      <c r="G46" s="75">
        <f t="shared" si="1"/>
        <v>7200</v>
      </c>
      <c r="H46" s="68">
        <v>0</v>
      </c>
      <c r="I46" s="68">
        <v>0</v>
      </c>
      <c r="J46" s="11">
        <v>5300</v>
      </c>
      <c r="K46" s="65">
        <v>5300</v>
      </c>
    </row>
    <row r="47" spans="1:11" ht="15" customHeight="1" thickBot="1" x14ac:dyDescent="0.3">
      <c r="A47" s="36" t="s">
        <v>3</v>
      </c>
      <c r="B47" s="117"/>
      <c r="C47" s="118"/>
      <c r="D47" s="118"/>
      <c r="E47" s="119"/>
      <c r="F47" s="71" t="s">
        <v>98</v>
      </c>
      <c r="G47" s="71" t="s">
        <v>99</v>
      </c>
      <c r="H47" s="72" t="s">
        <v>100</v>
      </c>
      <c r="I47" s="72" t="s">
        <v>130</v>
      </c>
    </row>
    <row r="48" spans="1:11" ht="15" customHeight="1" x14ac:dyDescent="0.25">
      <c r="A48" s="31" t="s">
        <v>154</v>
      </c>
      <c r="B48" s="74">
        <v>20000</v>
      </c>
      <c r="C48" s="74">
        <v>9500</v>
      </c>
      <c r="D48" s="74">
        <v>9500</v>
      </c>
      <c r="E48" s="74">
        <v>9500</v>
      </c>
      <c r="F48" s="75">
        <f>+B48*0.7</f>
        <v>14000</v>
      </c>
      <c r="G48" s="75">
        <f>+B48*0.6</f>
        <v>12000</v>
      </c>
      <c r="H48" s="68">
        <v>4100</v>
      </c>
      <c r="I48" s="68">
        <v>4100</v>
      </c>
      <c r="J48" s="64"/>
    </row>
    <row r="49" spans="1:10" x14ac:dyDescent="0.25">
      <c r="A49" s="33" t="s">
        <v>114</v>
      </c>
      <c r="B49" s="74">
        <v>15000</v>
      </c>
      <c r="C49" s="74">
        <v>5900</v>
      </c>
      <c r="D49" s="74">
        <v>5900</v>
      </c>
      <c r="E49" s="74">
        <v>5900</v>
      </c>
      <c r="F49" s="75">
        <f t="shared" ref="F49:F54" si="2">+B49*0.7</f>
        <v>10500</v>
      </c>
      <c r="G49" s="75">
        <f t="shared" ref="G49:G54" si="3">+B49*0.6</f>
        <v>9000</v>
      </c>
      <c r="H49" s="68">
        <v>4900</v>
      </c>
      <c r="I49" s="68">
        <v>4900</v>
      </c>
      <c r="J49" s="64"/>
    </row>
    <row r="50" spans="1:10" x14ac:dyDescent="0.25">
      <c r="A50" s="33" t="s">
        <v>115</v>
      </c>
      <c r="B50" s="74">
        <v>15000</v>
      </c>
      <c r="C50" s="74">
        <v>5800</v>
      </c>
      <c r="D50" s="74">
        <v>5800</v>
      </c>
      <c r="E50" s="74">
        <v>5800</v>
      </c>
      <c r="F50" s="75">
        <f t="shared" si="2"/>
        <v>10500</v>
      </c>
      <c r="G50" s="75">
        <f t="shared" si="3"/>
        <v>9000</v>
      </c>
      <c r="H50" s="68">
        <v>3400</v>
      </c>
      <c r="I50" s="68">
        <v>3400</v>
      </c>
    </row>
    <row r="51" spans="1:10" x14ac:dyDescent="0.25">
      <c r="A51" s="33" t="s">
        <v>116</v>
      </c>
      <c r="B51" s="74">
        <v>20000</v>
      </c>
      <c r="C51" s="74">
        <v>5800</v>
      </c>
      <c r="D51" s="74">
        <v>5800</v>
      </c>
      <c r="E51" s="74">
        <v>5800</v>
      </c>
      <c r="F51" s="75">
        <f t="shared" si="2"/>
        <v>14000</v>
      </c>
      <c r="G51" s="75">
        <f t="shared" si="3"/>
        <v>12000</v>
      </c>
      <c r="H51" s="68">
        <v>3400</v>
      </c>
      <c r="I51" s="68">
        <v>3400</v>
      </c>
    </row>
    <row r="52" spans="1:10" x14ac:dyDescent="0.25">
      <c r="A52" s="33" t="s">
        <v>117</v>
      </c>
      <c r="B52" s="74">
        <v>20000</v>
      </c>
      <c r="C52" s="74">
        <v>9500</v>
      </c>
      <c r="D52" s="74">
        <v>9500</v>
      </c>
      <c r="E52" s="74">
        <v>9500</v>
      </c>
      <c r="F52" s="75">
        <f t="shared" si="2"/>
        <v>14000</v>
      </c>
      <c r="G52" s="75">
        <f t="shared" si="3"/>
        <v>12000</v>
      </c>
      <c r="H52" s="68">
        <v>3400</v>
      </c>
      <c r="I52" s="68">
        <v>3400</v>
      </c>
    </row>
    <row r="53" spans="1:10" x14ac:dyDescent="0.25">
      <c r="A53" s="33" t="s">
        <v>118</v>
      </c>
      <c r="B53" s="74">
        <v>20000</v>
      </c>
      <c r="C53" s="74">
        <v>9500</v>
      </c>
      <c r="D53" s="74">
        <v>9500</v>
      </c>
      <c r="E53" s="74">
        <v>9500</v>
      </c>
      <c r="F53" s="75">
        <f t="shared" si="2"/>
        <v>14000</v>
      </c>
      <c r="G53" s="75">
        <f t="shared" si="3"/>
        <v>12000</v>
      </c>
      <c r="H53" s="68">
        <v>3400</v>
      </c>
      <c r="I53" s="68">
        <v>3400</v>
      </c>
    </row>
    <row r="54" spans="1:10" ht="15.75" thickBot="1" x14ac:dyDescent="0.3">
      <c r="A54" s="33" t="s">
        <v>119</v>
      </c>
      <c r="B54" s="74">
        <v>20000</v>
      </c>
      <c r="C54" s="74">
        <v>13800</v>
      </c>
      <c r="D54" s="74">
        <v>13800</v>
      </c>
      <c r="E54" s="74">
        <v>13800</v>
      </c>
      <c r="F54" s="75">
        <f t="shared" si="2"/>
        <v>14000</v>
      </c>
      <c r="G54" s="75">
        <f t="shared" si="3"/>
        <v>12000</v>
      </c>
      <c r="H54" s="68">
        <v>5700</v>
      </c>
      <c r="I54" s="68">
        <v>5700</v>
      </c>
    </row>
    <row r="55" spans="1:10" ht="15.75" customHeight="1" thickBot="1" x14ac:dyDescent="0.3">
      <c r="A55" s="3" t="s">
        <v>28</v>
      </c>
      <c r="B55" s="117"/>
      <c r="C55" s="118"/>
      <c r="D55" s="118"/>
      <c r="E55" s="119"/>
      <c r="F55" s="71" t="s">
        <v>98</v>
      </c>
      <c r="G55" s="71" t="s">
        <v>99</v>
      </c>
      <c r="H55" s="72" t="s">
        <v>100</v>
      </c>
      <c r="I55" s="72" t="s">
        <v>130</v>
      </c>
    </row>
    <row r="56" spans="1:10" ht="15.75" thickBot="1" x14ac:dyDescent="0.3">
      <c r="A56" s="9" t="s">
        <v>120</v>
      </c>
      <c r="B56" s="74">
        <v>15000</v>
      </c>
      <c r="C56" s="68">
        <v>7800</v>
      </c>
      <c r="D56" s="68">
        <v>7800</v>
      </c>
      <c r="E56" s="68">
        <v>7800</v>
      </c>
      <c r="F56" s="76">
        <v>9000</v>
      </c>
      <c r="G56" s="76">
        <v>7500</v>
      </c>
      <c r="H56" s="68">
        <v>2700</v>
      </c>
      <c r="I56" s="68">
        <v>0</v>
      </c>
    </row>
    <row r="57" spans="1:10" ht="15" customHeight="1" thickBot="1" x14ac:dyDescent="0.3">
      <c r="A57" s="1" t="s">
        <v>121</v>
      </c>
      <c r="B57" s="117"/>
      <c r="C57" s="118"/>
      <c r="D57" s="118"/>
      <c r="E57" s="119"/>
      <c r="F57" s="71" t="s">
        <v>98</v>
      </c>
      <c r="G57" s="71" t="s">
        <v>99</v>
      </c>
      <c r="H57" s="72" t="s">
        <v>100</v>
      </c>
      <c r="I57" s="72" t="s">
        <v>130</v>
      </c>
    </row>
    <row r="58" spans="1:10" ht="15" customHeight="1" thickBot="1" x14ac:dyDescent="0.3">
      <c r="A58" s="37" t="s">
        <v>122</v>
      </c>
      <c r="B58" s="68">
        <v>12000</v>
      </c>
      <c r="C58" s="68">
        <v>6400</v>
      </c>
      <c r="D58" s="68">
        <v>6400</v>
      </c>
      <c r="E58" s="68">
        <v>6400</v>
      </c>
      <c r="F58" s="76">
        <f>+B58*0.7</f>
        <v>8400</v>
      </c>
      <c r="G58" s="76">
        <f>+B58*0.6</f>
        <v>7200</v>
      </c>
      <c r="H58" s="68">
        <v>3900</v>
      </c>
      <c r="I58" s="68">
        <v>2700</v>
      </c>
    </row>
    <row r="59" spans="1:10" ht="15.75" customHeight="1" thickBot="1" x14ac:dyDescent="0.3">
      <c r="A59" s="3" t="s">
        <v>123</v>
      </c>
      <c r="B59" s="117"/>
      <c r="C59" s="118"/>
      <c r="D59" s="118"/>
      <c r="E59" s="119"/>
      <c r="F59" s="71" t="s">
        <v>98</v>
      </c>
      <c r="G59" s="71" t="s">
        <v>99</v>
      </c>
      <c r="H59" s="72" t="s">
        <v>100</v>
      </c>
      <c r="I59" s="72" t="s">
        <v>130</v>
      </c>
    </row>
    <row r="60" spans="1:10" x14ac:dyDescent="0.25">
      <c r="A60" s="34" t="s">
        <v>21</v>
      </c>
      <c r="B60" s="68">
        <v>20000</v>
      </c>
      <c r="C60" s="120">
        <v>10200</v>
      </c>
      <c r="D60" s="120">
        <v>10200</v>
      </c>
      <c r="E60" s="120">
        <v>10200</v>
      </c>
      <c r="F60" s="76">
        <f>+B60*0.7</f>
        <v>14000</v>
      </c>
      <c r="G60" s="76">
        <f>+B60*0.6</f>
        <v>12000</v>
      </c>
      <c r="H60" s="68">
        <v>5500</v>
      </c>
      <c r="I60" s="68">
        <v>5500</v>
      </c>
    </row>
    <row r="61" spans="1:10" x14ac:dyDescent="0.25">
      <c r="A61" s="35" t="s">
        <v>22</v>
      </c>
      <c r="B61" s="68">
        <v>30000</v>
      </c>
      <c r="C61" s="120">
        <v>15900</v>
      </c>
      <c r="D61" s="120">
        <v>15900</v>
      </c>
      <c r="E61" s="120">
        <v>15900</v>
      </c>
      <c r="F61" s="76">
        <f t="shared" ref="F61:F64" si="4">+B61*0.7</f>
        <v>21000</v>
      </c>
      <c r="G61" s="76">
        <f t="shared" ref="G61:G64" si="5">+B61*0.6</f>
        <v>18000</v>
      </c>
      <c r="H61" s="68">
        <v>8400</v>
      </c>
      <c r="I61" s="68">
        <v>8400</v>
      </c>
    </row>
    <row r="62" spans="1:10" x14ac:dyDescent="0.25">
      <c r="A62" s="35" t="s">
        <v>23</v>
      </c>
      <c r="B62" s="68">
        <v>20000</v>
      </c>
      <c r="C62" s="120">
        <v>10000</v>
      </c>
      <c r="D62" s="120">
        <v>10000</v>
      </c>
      <c r="E62" s="120">
        <v>10000</v>
      </c>
      <c r="F62" s="76">
        <f t="shared" si="4"/>
        <v>14000</v>
      </c>
      <c r="G62" s="76">
        <f t="shared" si="5"/>
        <v>12000</v>
      </c>
      <c r="H62" s="68">
        <v>5000</v>
      </c>
      <c r="I62" s="68">
        <v>5000</v>
      </c>
    </row>
    <row r="63" spans="1:10" x14ac:dyDescent="0.25">
      <c r="A63" s="38" t="s">
        <v>24</v>
      </c>
      <c r="B63" s="74">
        <v>30000</v>
      </c>
      <c r="C63" s="120">
        <v>10000</v>
      </c>
      <c r="D63" s="120">
        <v>10000</v>
      </c>
      <c r="E63" s="120">
        <v>10000</v>
      </c>
      <c r="F63" s="76">
        <f t="shared" si="4"/>
        <v>21000</v>
      </c>
      <c r="G63" s="76">
        <f t="shared" si="5"/>
        <v>18000</v>
      </c>
      <c r="H63" s="68">
        <v>5200</v>
      </c>
      <c r="I63" s="68">
        <v>5200</v>
      </c>
    </row>
    <row r="64" spans="1:10" ht="15.75" customHeight="1" thickBot="1" x14ac:dyDescent="0.3">
      <c r="A64" s="27" t="s">
        <v>25</v>
      </c>
      <c r="B64" s="74">
        <v>30000</v>
      </c>
      <c r="C64" s="120">
        <v>12300</v>
      </c>
      <c r="D64" s="120">
        <v>12300</v>
      </c>
      <c r="E64" s="120">
        <v>12300</v>
      </c>
      <c r="F64" s="76">
        <f t="shared" si="4"/>
        <v>21000</v>
      </c>
      <c r="G64" s="76">
        <f t="shared" si="5"/>
        <v>18000</v>
      </c>
      <c r="H64" s="68">
        <v>7900</v>
      </c>
      <c r="I64" s="68">
        <v>7900</v>
      </c>
    </row>
    <row r="65" spans="1:9" ht="15.75" customHeight="1" thickBot="1" x14ac:dyDescent="0.3">
      <c r="A65" s="20" t="s">
        <v>7</v>
      </c>
      <c r="B65" s="77"/>
      <c r="C65" s="77"/>
      <c r="D65" s="77"/>
      <c r="E65" s="77"/>
      <c r="F65" s="77"/>
      <c r="G65" s="77"/>
      <c r="H65" s="77"/>
      <c r="I65" s="77"/>
    </row>
    <row r="66" spans="1:9" ht="15.75" customHeight="1" thickBot="1" x14ac:dyDescent="0.3">
      <c r="A66" s="39" t="s">
        <v>8</v>
      </c>
      <c r="B66" s="117" t="s">
        <v>134</v>
      </c>
      <c r="C66" s="118"/>
      <c r="D66" s="118"/>
      <c r="E66" s="119"/>
      <c r="F66" s="71" t="s">
        <v>98</v>
      </c>
      <c r="G66" s="71" t="s">
        <v>99</v>
      </c>
      <c r="H66" s="72" t="s">
        <v>100</v>
      </c>
      <c r="I66" s="72" t="s">
        <v>130</v>
      </c>
    </row>
    <row r="67" spans="1:9" x14ac:dyDescent="0.25">
      <c r="A67" s="9" t="s">
        <v>124</v>
      </c>
      <c r="B67" s="76">
        <v>111000</v>
      </c>
      <c r="C67" s="68">
        <v>83700</v>
      </c>
      <c r="D67" s="68">
        <v>83700</v>
      </c>
      <c r="E67" s="68">
        <v>83700</v>
      </c>
      <c r="F67" s="76">
        <f>+B67*0.7</f>
        <v>77700</v>
      </c>
      <c r="G67" s="76">
        <f>+B67*0.6</f>
        <v>66600</v>
      </c>
      <c r="H67" s="68">
        <v>46700</v>
      </c>
      <c r="I67" s="68">
        <v>46700</v>
      </c>
    </row>
    <row r="68" spans="1:9" ht="15.75" thickBot="1" x14ac:dyDescent="0.3">
      <c r="A68" s="59" t="s">
        <v>152</v>
      </c>
      <c r="B68" s="121">
        <v>51000</v>
      </c>
      <c r="C68" s="122">
        <v>51000</v>
      </c>
      <c r="D68" s="122">
        <v>51000</v>
      </c>
      <c r="E68" s="123">
        <v>51000</v>
      </c>
      <c r="F68" s="76">
        <f>+B68*0.7</f>
        <v>35700</v>
      </c>
      <c r="G68" s="76">
        <f>+B68*0.6</f>
        <v>30600</v>
      </c>
      <c r="H68" s="78">
        <v>21300</v>
      </c>
      <c r="I68" s="68">
        <v>21300</v>
      </c>
    </row>
    <row r="69" spans="1:9" ht="15" customHeight="1" thickBot="1" x14ac:dyDescent="0.3">
      <c r="A69" s="39" t="s">
        <v>97</v>
      </c>
      <c r="B69" s="117" t="s">
        <v>134</v>
      </c>
      <c r="C69" s="118"/>
      <c r="D69" s="118"/>
      <c r="E69" s="119"/>
      <c r="F69" s="71" t="s">
        <v>98</v>
      </c>
      <c r="G69" s="71" t="s">
        <v>99</v>
      </c>
      <c r="H69" s="72" t="s">
        <v>100</v>
      </c>
      <c r="I69" s="79" t="s">
        <v>130</v>
      </c>
    </row>
    <row r="70" spans="1:9" ht="15" customHeight="1" x14ac:dyDescent="0.25">
      <c r="A70" s="9" t="s">
        <v>125</v>
      </c>
      <c r="B70" s="76">
        <v>241000</v>
      </c>
      <c r="C70" s="68">
        <v>165000</v>
      </c>
      <c r="D70" s="68">
        <v>165000</v>
      </c>
      <c r="E70" s="68">
        <v>165000</v>
      </c>
      <c r="F70" s="76">
        <f>+B70*0.7</f>
        <v>168700</v>
      </c>
      <c r="G70" s="76">
        <f>+B70*0.6</f>
        <v>144600</v>
      </c>
      <c r="H70" s="68">
        <v>76000</v>
      </c>
      <c r="I70" s="68">
        <v>76000</v>
      </c>
    </row>
    <row r="71" spans="1:9" ht="15" customHeight="1" thickBot="1" x14ac:dyDescent="0.3">
      <c r="A71" s="59" t="s">
        <v>153</v>
      </c>
      <c r="B71" s="121">
        <v>68000</v>
      </c>
      <c r="C71" s="122">
        <v>68000</v>
      </c>
      <c r="D71" s="122">
        <v>68000</v>
      </c>
      <c r="E71" s="123">
        <v>68000</v>
      </c>
      <c r="F71" s="76">
        <f>+B71*0.7</f>
        <v>47600</v>
      </c>
      <c r="G71" s="76">
        <f t="shared" ref="G71:G98" si="6">+B71*0.6</f>
        <v>40800</v>
      </c>
      <c r="H71" s="78">
        <v>48000</v>
      </c>
      <c r="I71" s="78">
        <v>48000</v>
      </c>
    </row>
    <row r="72" spans="1:9" ht="15" customHeight="1" thickBot="1" x14ac:dyDescent="0.3">
      <c r="A72" s="5" t="s">
        <v>72</v>
      </c>
      <c r="B72" s="117" t="s">
        <v>134</v>
      </c>
      <c r="C72" s="118"/>
      <c r="D72" s="118"/>
      <c r="E72" s="119"/>
      <c r="F72" s="71" t="s">
        <v>98</v>
      </c>
      <c r="G72" s="71" t="s">
        <v>99</v>
      </c>
      <c r="H72" s="72" t="s">
        <v>100</v>
      </c>
      <c r="I72" s="72" t="s">
        <v>130</v>
      </c>
    </row>
    <row r="73" spans="1:9" ht="15" customHeight="1" thickBot="1" x14ac:dyDescent="0.3">
      <c r="A73" s="6" t="s">
        <v>125</v>
      </c>
      <c r="B73" s="76">
        <v>551000</v>
      </c>
      <c r="C73" s="68">
        <v>418000</v>
      </c>
      <c r="D73" s="68">
        <v>418000</v>
      </c>
      <c r="E73" s="68">
        <v>418000</v>
      </c>
      <c r="F73" s="76">
        <f t="shared" ref="F73:F98" si="7">+B73*0.7</f>
        <v>385700</v>
      </c>
      <c r="G73" s="76">
        <f t="shared" si="6"/>
        <v>330600</v>
      </c>
      <c r="H73" s="68">
        <v>209000</v>
      </c>
      <c r="I73" s="68">
        <v>209000</v>
      </c>
    </row>
    <row r="74" spans="1:9" ht="15" customHeight="1" thickBot="1" x14ac:dyDescent="0.3">
      <c r="A74" s="61" t="s">
        <v>152</v>
      </c>
      <c r="B74" s="121">
        <v>132000</v>
      </c>
      <c r="C74" s="122">
        <v>132000</v>
      </c>
      <c r="D74" s="122">
        <v>132000</v>
      </c>
      <c r="E74" s="123">
        <v>132000</v>
      </c>
      <c r="F74" s="76">
        <f t="shared" si="7"/>
        <v>92400</v>
      </c>
      <c r="G74" s="76">
        <f t="shared" si="6"/>
        <v>79200</v>
      </c>
      <c r="H74" s="78">
        <v>75000</v>
      </c>
      <c r="I74" s="78">
        <v>75000</v>
      </c>
    </row>
    <row r="75" spans="1:9" ht="15" customHeight="1" thickBot="1" x14ac:dyDescent="0.3">
      <c r="A75" s="40" t="s">
        <v>71</v>
      </c>
      <c r="B75" s="117" t="s">
        <v>134</v>
      </c>
      <c r="C75" s="118"/>
      <c r="D75" s="118"/>
      <c r="E75" s="119"/>
      <c r="F75" s="71" t="s">
        <v>98</v>
      </c>
      <c r="G75" s="71" t="s">
        <v>99</v>
      </c>
      <c r="H75" s="72" t="s">
        <v>100</v>
      </c>
      <c r="I75" s="72" t="s">
        <v>130</v>
      </c>
    </row>
    <row r="76" spans="1:9" ht="15" customHeight="1" x14ac:dyDescent="0.25">
      <c r="A76" s="33" t="s">
        <v>124</v>
      </c>
      <c r="B76" s="76">
        <v>962000</v>
      </c>
      <c r="C76" s="68">
        <v>706000</v>
      </c>
      <c r="D76" s="68">
        <v>706000</v>
      </c>
      <c r="E76" s="68">
        <v>706000</v>
      </c>
      <c r="F76" s="76">
        <f t="shared" si="7"/>
        <v>673400</v>
      </c>
      <c r="G76" s="76">
        <f t="shared" si="6"/>
        <v>577200</v>
      </c>
      <c r="H76" s="68">
        <v>464000</v>
      </c>
      <c r="I76" s="68">
        <v>464000</v>
      </c>
    </row>
    <row r="77" spans="1:9" ht="15" customHeight="1" thickBot="1" x14ac:dyDescent="0.3">
      <c r="A77" s="7" t="s">
        <v>153</v>
      </c>
      <c r="B77" s="121">
        <v>203000</v>
      </c>
      <c r="C77" s="122">
        <v>203000</v>
      </c>
      <c r="D77" s="122">
        <v>203000</v>
      </c>
      <c r="E77" s="123">
        <v>203000</v>
      </c>
      <c r="F77" s="76">
        <f t="shared" si="7"/>
        <v>142100</v>
      </c>
      <c r="G77" s="76">
        <f t="shared" si="6"/>
        <v>121800</v>
      </c>
      <c r="H77" s="78">
        <v>139000</v>
      </c>
      <c r="I77" s="78">
        <v>139000</v>
      </c>
    </row>
    <row r="78" spans="1:9" ht="15.75" customHeight="1" thickBot="1" x14ac:dyDescent="0.3">
      <c r="A78" s="41" t="s">
        <v>9</v>
      </c>
      <c r="B78" s="117"/>
      <c r="C78" s="118"/>
      <c r="D78" s="118"/>
      <c r="E78" s="119"/>
      <c r="F78" s="71" t="s">
        <v>98</v>
      </c>
      <c r="G78" s="71" t="s">
        <v>99</v>
      </c>
      <c r="H78" s="72" t="s">
        <v>100</v>
      </c>
      <c r="I78" s="72" t="s">
        <v>130</v>
      </c>
    </row>
    <row r="79" spans="1:9" x14ac:dyDescent="0.25">
      <c r="A79" s="34" t="s">
        <v>10</v>
      </c>
      <c r="B79" s="73">
        <v>176000</v>
      </c>
      <c r="C79" s="68">
        <v>176000</v>
      </c>
      <c r="D79" s="68">
        <v>176000</v>
      </c>
      <c r="E79" s="68">
        <v>176000</v>
      </c>
      <c r="F79" s="76">
        <f t="shared" si="7"/>
        <v>123199.99999999999</v>
      </c>
      <c r="G79" s="76">
        <f t="shared" si="6"/>
        <v>105600</v>
      </c>
      <c r="H79" s="68">
        <v>176000</v>
      </c>
      <c r="I79" s="68">
        <v>176000</v>
      </c>
    </row>
    <row r="80" spans="1:9" x14ac:dyDescent="0.25">
      <c r="A80" s="42" t="s">
        <v>11</v>
      </c>
      <c r="B80" s="73">
        <v>233000</v>
      </c>
      <c r="C80" s="68">
        <v>233000</v>
      </c>
      <c r="D80" s="68">
        <v>233000</v>
      </c>
      <c r="E80" s="68">
        <v>233000</v>
      </c>
      <c r="F80" s="76">
        <f t="shared" si="7"/>
        <v>163100</v>
      </c>
      <c r="G80" s="76">
        <f t="shared" si="6"/>
        <v>139800</v>
      </c>
      <c r="H80" s="68">
        <v>233000</v>
      </c>
      <c r="I80" s="68">
        <v>233000</v>
      </c>
    </row>
    <row r="81" spans="1:9" x14ac:dyDescent="0.25">
      <c r="A81" s="4" t="s">
        <v>151</v>
      </c>
      <c r="B81" s="73">
        <v>41000</v>
      </c>
      <c r="C81" s="68">
        <v>41000</v>
      </c>
      <c r="D81" s="68">
        <v>41000</v>
      </c>
      <c r="E81" s="68">
        <v>41000</v>
      </c>
      <c r="F81" s="76">
        <f t="shared" si="7"/>
        <v>28699.999999999996</v>
      </c>
      <c r="G81" s="76">
        <f t="shared" si="6"/>
        <v>24600</v>
      </c>
      <c r="H81" s="68">
        <v>41000</v>
      </c>
      <c r="I81" s="68">
        <v>41000</v>
      </c>
    </row>
    <row r="82" spans="1:9" ht="15.75" thickBot="1" x14ac:dyDescent="0.3">
      <c r="A82" s="43" t="s">
        <v>12</v>
      </c>
      <c r="B82" s="73">
        <v>7700</v>
      </c>
      <c r="C82" s="68">
        <v>7700</v>
      </c>
      <c r="D82" s="68">
        <v>7700</v>
      </c>
      <c r="E82" s="68">
        <v>7700</v>
      </c>
      <c r="F82" s="76">
        <f t="shared" si="7"/>
        <v>5390</v>
      </c>
      <c r="G82" s="76">
        <f t="shared" si="6"/>
        <v>4620</v>
      </c>
      <c r="H82" s="68">
        <v>7700</v>
      </c>
      <c r="I82" s="68">
        <v>7700</v>
      </c>
    </row>
    <row r="83" spans="1:9" ht="16.5" thickBot="1" x14ac:dyDescent="0.3">
      <c r="A83" s="20" t="s">
        <v>156</v>
      </c>
      <c r="B83" s="117"/>
      <c r="C83" s="118"/>
      <c r="D83" s="118"/>
      <c r="E83" s="119"/>
      <c r="F83" s="71" t="s">
        <v>98</v>
      </c>
      <c r="G83" s="71" t="s">
        <v>99</v>
      </c>
      <c r="H83" s="72" t="s">
        <v>100</v>
      </c>
      <c r="I83" s="72" t="s">
        <v>130</v>
      </c>
    </row>
    <row r="84" spans="1:9" ht="15.75" thickBot="1" x14ac:dyDescent="0.3">
      <c r="A84" s="44" t="s">
        <v>40</v>
      </c>
      <c r="B84" s="81">
        <v>64600</v>
      </c>
      <c r="C84" s="81"/>
      <c r="D84" s="81"/>
      <c r="E84" s="81"/>
      <c r="F84" s="80"/>
      <c r="G84" s="80"/>
      <c r="H84" s="81"/>
      <c r="I84" s="81"/>
    </row>
    <row r="85" spans="1:9" ht="15" customHeight="1" x14ac:dyDescent="0.25">
      <c r="A85" s="62" t="s">
        <v>30</v>
      </c>
      <c r="B85" s="117" t="s">
        <v>134</v>
      </c>
      <c r="C85" s="118"/>
      <c r="D85" s="118"/>
      <c r="E85" s="119"/>
      <c r="F85" s="71" t="s">
        <v>98</v>
      </c>
      <c r="G85" s="71" t="s">
        <v>99</v>
      </c>
      <c r="H85" s="72" t="s">
        <v>100</v>
      </c>
      <c r="I85" s="72" t="s">
        <v>130</v>
      </c>
    </row>
    <row r="86" spans="1:9" x14ac:dyDescent="0.25">
      <c r="A86" s="45" t="s">
        <v>126</v>
      </c>
      <c r="B86" s="76">
        <v>97000</v>
      </c>
      <c r="C86" s="68">
        <v>57000</v>
      </c>
      <c r="D86" s="68">
        <v>57000</v>
      </c>
      <c r="E86" s="68">
        <v>57000</v>
      </c>
      <c r="F86" s="76">
        <f t="shared" si="7"/>
        <v>67900</v>
      </c>
      <c r="G86" s="76">
        <f>+B86*0.6</f>
        <v>58200</v>
      </c>
      <c r="H86" s="68">
        <v>23500</v>
      </c>
      <c r="I86" s="68">
        <v>23500</v>
      </c>
    </row>
    <row r="87" spans="1:9" x14ac:dyDescent="0.25">
      <c r="A87" s="45" t="s">
        <v>127</v>
      </c>
      <c r="B87" s="76">
        <v>282000</v>
      </c>
      <c r="C87" s="68">
        <v>168000</v>
      </c>
      <c r="D87" s="68">
        <v>168000</v>
      </c>
      <c r="E87" s="68">
        <v>168000</v>
      </c>
      <c r="F87" s="76">
        <f t="shared" si="7"/>
        <v>197400</v>
      </c>
      <c r="G87" s="76">
        <f>+B87*0.6</f>
        <v>169200</v>
      </c>
      <c r="H87" s="68">
        <v>72000</v>
      </c>
      <c r="I87" s="68">
        <v>72000</v>
      </c>
    </row>
    <row r="88" spans="1:9" x14ac:dyDescent="0.25">
      <c r="A88" s="45" t="s">
        <v>149</v>
      </c>
      <c r="B88" s="76">
        <v>256000</v>
      </c>
      <c r="C88" s="68">
        <v>140000</v>
      </c>
      <c r="D88" s="68">
        <v>140000</v>
      </c>
      <c r="E88" s="68">
        <v>140000</v>
      </c>
      <c r="F88" s="76">
        <f t="shared" si="7"/>
        <v>179200</v>
      </c>
      <c r="G88" s="76">
        <f t="shared" si="6"/>
        <v>153600</v>
      </c>
      <c r="H88" s="68">
        <v>62000</v>
      </c>
      <c r="I88" s="68">
        <v>62000</v>
      </c>
    </row>
    <row r="89" spans="1:9" x14ac:dyDescent="0.25">
      <c r="A89" s="45" t="s">
        <v>128</v>
      </c>
      <c r="B89" s="76">
        <v>508000</v>
      </c>
      <c r="C89" s="68">
        <v>287000</v>
      </c>
      <c r="D89" s="68">
        <v>287000</v>
      </c>
      <c r="E89" s="68">
        <v>287000</v>
      </c>
      <c r="F89" s="76">
        <f t="shared" si="7"/>
        <v>355600</v>
      </c>
      <c r="G89" s="76">
        <f t="shared" si="6"/>
        <v>304800</v>
      </c>
      <c r="H89" s="68">
        <v>124000</v>
      </c>
      <c r="I89" s="68">
        <v>1240000</v>
      </c>
    </row>
    <row r="90" spans="1:9" ht="15.75" thickBot="1" x14ac:dyDescent="0.3">
      <c r="A90" s="126" t="s">
        <v>150</v>
      </c>
      <c r="B90" s="127">
        <v>8200</v>
      </c>
      <c r="C90" s="113">
        <v>6200</v>
      </c>
      <c r="D90" s="113">
        <v>6200</v>
      </c>
      <c r="E90" s="113">
        <v>6200</v>
      </c>
      <c r="F90" s="127">
        <f t="shared" si="7"/>
        <v>5740</v>
      </c>
      <c r="G90" s="127">
        <f t="shared" si="6"/>
        <v>4920</v>
      </c>
      <c r="H90" s="113">
        <v>2500</v>
      </c>
      <c r="I90" s="113">
        <v>2500</v>
      </c>
    </row>
    <row r="91" spans="1:9" ht="15" customHeight="1" thickBot="1" x14ac:dyDescent="0.3">
      <c r="A91" s="20" t="s">
        <v>33</v>
      </c>
      <c r="B91" s="117" t="s">
        <v>134</v>
      </c>
      <c r="C91" s="130"/>
      <c r="D91" s="130"/>
      <c r="E91" s="131"/>
      <c r="F91" s="132" t="s">
        <v>98</v>
      </c>
      <c r="G91" s="132" t="s">
        <v>99</v>
      </c>
      <c r="H91" s="133" t="s">
        <v>100</v>
      </c>
      <c r="I91" s="133" t="s">
        <v>130</v>
      </c>
    </row>
    <row r="92" spans="1:9" x14ac:dyDescent="0.25">
      <c r="A92" s="47" t="s">
        <v>29</v>
      </c>
      <c r="B92" s="128"/>
      <c r="C92" s="128"/>
      <c r="D92" s="128"/>
      <c r="E92" s="128"/>
      <c r="F92" s="129">
        <f t="shared" si="7"/>
        <v>0</v>
      </c>
      <c r="G92" s="129">
        <f t="shared" si="6"/>
        <v>0</v>
      </c>
      <c r="H92" s="128"/>
      <c r="I92" s="128"/>
    </row>
    <row r="93" spans="1:9" ht="15" customHeight="1" x14ac:dyDescent="0.25">
      <c r="A93" s="46" t="s">
        <v>31</v>
      </c>
      <c r="B93" s="76">
        <v>104000</v>
      </c>
      <c r="C93" s="68">
        <v>94000</v>
      </c>
      <c r="D93" s="68">
        <v>94000</v>
      </c>
      <c r="E93" s="68">
        <v>94000</v>
      </c>
      <c r="F93" s="76">
        <f t="shared" si="7"/>
        <v>72800</v>
      </c>
      <c r="G93" s="76">
        <f t="shared" si="6"/>
        <v>62400</v>
      </c>
      <c r="H93" s="68">
        <v>41600</v>
      </c>
      <c r="I93" s="68">
        <v>41600</v>
      </c>
    </row>
    <row r="94" spans="1:9" ht="15" customHeight="1" thickBot="1" x14ac:dyDescent="0.3">
      <c r="A94" s="46" t="s">
        <v>32</v>
      </c>
      <c r="B94" s="76">
        <v>144750</v>
      </c>
      <c r="C94" s="68">
        <v>106000</v>
      </c>
      <c r="D94" s="68">
        <v>106000</v>
      </c>
      <c r="E94" s="68">
        <v>106000</v>
      </c>
      <c r="F94" s="76">
        <f t="shared" si="7"/>
        <v>101325</v>
      </c>
      <c r="G94" s="76">
        <f t="shared" si="6"/>
        <v>86850</v>
      </c>
      <c r="H94" s="68">
        <v>57900</v>
      </c>
      <c r="I94" s="68">
        <v>57900</v>
      </c>
    </row>
    <row r="95" spans="1:9" ht="15.75" x14ac:dyDescent="0.25">
      <c r="A95" s="48" t="s">
        <v>37</v>
      </c>
      <c r="B95" s="117" t="s">
        <v>134</v>
      </c>
      <c r="C95" s="118"/>
      <c r="D95" s="118"/>
      <c r="E95" s="119"/>
      <c r="F95" s="71" t="s">
        <v>98</v>
      </c>
      <c r="G95" s="71" t="s">
        <v>99</v>
      </c>
      <c r="H95" s="72" t="s">
        <v>100</v>
      </c>
      <c r="I95" s="72" t="s">
        <v>130</v>
      </c>
    </row>
    <row r="96" spans="1:9" x14ac:dyDescent="0.25">
      <c r="A96" s="46" t="s">
        <v>34</v>
      </c>
      <c r="B96" s="76">
        <f>+E96/0.7</f>
        <v>13428.571428571429</v>
      </c>
      <c r="C96" s="68">
        <v>9400</v>
      </c>
      <c r="D96" s="68">
        <v>9400</v>
      </c>
      <c r="E96" s="68">
        <v>9400</v>
      </c>
      <c r="F96" s="76">
        <f t="shared" si="7"/>
        <v>9400</v>
      </c>
      <c r="G96" s="76">
        <f t="shared" si="6"/>
        <v>8057.1428571428569</v>
      </c>
      <c r="H96" s="80">
        <f>+B96*0.4</f>
        <v>5371.4285714285725</v>
      </c>
      <c r="I96" s="68"/>
    </row>
    <row r="97" spans="1:9" x14ac:dyDescent="0.25">
      <c r="A97" s="45" t="s">
        <v>35</v>
      </c>
      <c r="B97" s="76">
        <f t="shared" ref="B97:B98" si="8">+E97/0.7</f>
        <v>19714.285714285714</v>
      </c>
      <c r="C97" s="68">
        <v>13800</v>
      </c>
      <c r="D97" s="68">
        <v>13800</v>
      </c>
      <c r="E97" s="68">
        <v>13800</v>
      </c>
      <c r="F97" s="76">
        <f t="shared" si="7"/>
        <v>13799.999999999998</v>
      </c>
      <c r="G97" s="76">
        <f t="shared" si="6"/>
        <v>11828.571428571428</v>
      </c>
      <c r="H97" s="80">
        <f t="shared" ref="H97:H98" si="9">+B97*0.4</f>
        <v>7885.7142857142862</v>
      </c>
      <c r="I97" s="68"/>
    </row>
    <row r="98" spans="1:9" ht="15.75" thickBot="1" x14ac:dyDescent="0.3">
      <c r="A98" s="46" t="s">
        <v>36</v>
      </c>
      <c r="B98" s="76">
        <f t="shared" si="8"/>
        <v>19714.285714285714</v>
      </c>
      <c r="C98" s="68">
        <v>13800</v>
      </c>
      <c r="D98" s="68">
        <v>13800</v>
      </c>
      <c r="E98" s="68">
        <v>13800</v>
      </c>
      <c r="F98" s="76">
        <f t="shared" si="7"/>
        <v>13799.999999999998</v>
      </c>
      <c r="G98" s="76">
        <f t="shared" si="6"/>
        <v>11828.571428571428</v>
      </c>
      <c r="H98" s="80">
        <f t="shared" si="9"/>
        <v>7885.7142857142862</v>
      </c>
      <c r="I98" s="68"/>
    </row>
    <row r="99" spans="1:9" ht="15.75" customHeight="1" thickBot="1" x14ac:dyDescent="0.3">
      <c r="A99" s="20" t="s">
        <v>26</v>
      </c>
      <c r="B99" s="117" t="s">
        <v>134</v>
      </c>
      <c r="C99" s="118"/>
      <c r="D99" s="118"/>
      <c r="E99" s="119"/>
      <c r="F99" s="71" t="s">
        <v>98</v>
      </c>
      <c r="G99" s="71" t="s">
        <v>99</v>
      </c>
      <c r="H99" s="72" t="s">
        <v>100</v>
      </c>
      <c r="I99" s="72" t="s">
        <v>130</v>
      </c>
    </row>
    <row r="100" spans="1:9" ht="15.75" customHeight="1" x14ac:dyDescent="0.25">
      <c r="A100" s="49" t="s">
        <v>44</v>
      </c>
      <c r="B100" s="76">
        <v>55600</v>
      </c>
      <c r="C100" s="68">
        <v>38700</v>
      </c>
      <c r="D100" s="68">
        <v>38700</v>
      </c>
      <c r="E100" s="68">
        <v>38700</v>
      </c>
      <c r="F100" s="76">
        <f>+B100*0.7</f>
        <v>38920</v>
      </c>
      <c r="G100" s="76">
        <f>+B100*0.6</f>
        <v>33360</v>
      </c>
      <c r="H100" s="68">
        <v>26800</v>
      </c>
      <c r="I100" s="68">
        <v>26800</v>
      </c>
    </row>
    <row r="101" spans="1:9" ht="15.75" thickBot="1" x14ac:dyDescent="0.3">
      <c r="A101" s="50" t="s">
        <v>45</v>
      </c>
      <c r="B101" s="76">
        <v>13900</v>
      </c>
      <c r="C101" s="68">
        <v>13900</v>
      </c>
      <c r="D101" s="68">
        <v>13900</v>
      </c>
      <c r="E101" s="68">
        <v>13900</v>
      </c>
      <c r="F101" s="76">
        <f>+B101*0.7</f>
        <v>9730</v>
      </c>
      <c r="G101" s="76">
        <f>+B101*0.6</f>
        <v>8340</v>
      </c>
      <c r="H101" s="82">
        <v>13900</v>
      </c>
      <c r="I101" s="68">
        <v>13600</v>
      </c>
    </row>
    <row r="102" spans="1:9" ht="16.5" thickBot="1" x14ac:dyDescent="0.3">
      <c r="A102" s="51" t="s">
        <v>70</v>
      </c>
      <c r="B102" s="83"/>
      <c r="C102" s="83"/>
      <c r="D102" s="83"/>
      <c r="E102" s="83"/>
      <c r="F102" s="83"/>
      <c r="G102" s="83"/>
      <c r="H102" s="83"/>
      <c r="I102" s="83"/>
    </row>
    <row r="103" spans="1:9" ht="16.5" thickBot="1" x14ac:dyDescent="0.3">
      <c r="A103" s="55" t="s">
        <v>77</v>
      </c>
      <c r="B103" s="117" t="s">
        <v>155</v>
      </c>
      <c r="C103" s="118"/>
      <c r="D103" s="118"/>
      <c r="E103" s="119"/>
      <c r="F103" s="84" t="s">
        <v>98</v>
      </c>
      <c r="G103" s="84" t="s">
        <v>99</v>
      </c>
      <c r="H103" s="72" t="s">
        <v>100</v>
      </c>
      <c r="I103" s="72" t="s">
        <v>130</v>
      </c>
    </row>
    <row r="104" spans="1:9" ht="15.75" x14ac:dyDescent="0.25">
      <c r="A104" s="13" t="s">
        <v>73</v>
      </c>
      <c r="B104" s="68">
        <v>88886</v>
      </c>
      <c r="C104" s="68">
        <v>44443</v>
      </c>
      <c r="D104" s="68">
        <v>44443</v>
      </c>
      <c r="E104" s="68">
        <v>44443</v>
      </c>
      <c r="F104" s="76">
        <f>+B104*0.7</f>
        <v>62220.2</v>
      </c>
      <c r="G104" s="76">
        <f>+B104*0.6</f>
        <v>53331.6</v>
      </c>
      <c r="H104" s="68">
        <v>24647</v>
      </c>
      <c r="I104" s="68">
        <v>24647</v>
      </c>
    </row>
    <row r="105" spans="1:9" ht="15.75" x14ac:dyDescent="0.25">
      <c r="A105" s="14" t="s">
        <v>74</v>
      </c>
      <c r="B105" s="68">
        <v>103703</v>
      </c>
      <c r="C105" s="68">
        <v>51852</v>
      </c>
      <c r="D105" s="68">
        <v>51852</v>
      </c>
      <c r="E105" s="68">
        <v>51852</v>
      </c>
      <c r="F105" s="76">
        <f t="shared" ref="F105:F129" si="10">+B105*0.7</f>
        <v>72592.099999999991</v>
      </c>
      <c r="G105" s="76">
        <f t="shared" ref="G105:G129" si="11">+B105*0.6</f>
        <v>62221.799999999996</v>
      </c>
      <c r="H105" s="68">
        <v>28755</v>
      </c>
      <c r="I105" s="68">
        <v>28755</v>
      </c>
    </row>
    <row r="106" spans="1:9" ht="15.75" x14ac:dyDescent="0.25">
      <c r="A106" s="14" t="s">
        <v>75</v>
      </c>
      <c r="B106" s="68">
        <v>174729</v>
      </c>
      <c r="C106" s="68">
        <v>87365</v>
      </c>
      <c r="D106" s="68">
        <v>87365</v>
      </c>
      <c r="E106" s="68">
        <v>87365</v>
      </c>
      <c r="F106" s="76">
        <f t="shared" si="10"/>
        <v>122310.29999999999</v>
      </c>
      <c r="G106" s="76">
        <f t="shared" si="11"/>
        <v>104837.4</v>
      </c>
      <c r="H106" s="68">
        <v>48449</v>
      </c>
      <c r="I106" s="68">
        <v>48449</v>
      </c>
    </row>
    <row r="107" spans="1:9" ht="15.75" x14ac:dyDescent="0.25">
      <c r="A107" s="14" t="s">
        <v>76</v>
      </c>
      <c r="B107" s="68">
        <v>22223</v>
      </c>
      <c r="C107" s="68">
        <v>11112</v>
      </c>
      <c r="D107" s="68">
        <v>11112</v>
      </c>
      <c r="E107" s="68">
        <v>11112</v>
      </c>
      <c r="F107" s="76">
        <f t="shared" si="10"/>
        <v>15556.099999999999</v>
      </c>
      <c r="G107" s="76">
        <f t="shared" si="11"/>
        <v>13333.8</v>
      </c>
      <c r="H107" s="68">
        <v>6162</v>
      </c>
      <c r="I107" s="68">
        <v>6162</v>
      </c>
    </row>
    <row r="108" spans="1:9" ht="16.5" thickBot="1" x14ac:dyDescent="0.3">
      <c r="A108" s="15" t="s">
        <v>78</v>
      </c>
      <c r="B108" s="68">
        <v>111110</v>
      </c>
      <c r="C108" s="68">
        <v>55555</v>
      </c>
      <c r="D108" s="68">
        <v>55555</v>
      </c>
      <c r="E108" s="68">
        <v>55555</v>
      </c>
      <c r="F108" s="76">
        <f t="shared" si="10"/>
        <v>77777</v>
      </c>
      <c r="G108" s="76">
        <f t="shared" si="11"/>
        <v>66666</v>
      </c>
      <c r="H108" s="68">
        <v>30809</v>
      </c>
      <c r="I108" s="68">
        <v>30809</v>
      </c>
    </row>
    <row r="109" spans="1:9" ht="16.5" thickBot="1" x14ac:dyDescent="0.3">
      <c r="A109" s="54" t="s">
        <v>145</v>
      </c>
      <c r="B109" s="117" t="s">
        <v>157</v>
      </c>
      <c r="C109" s="118"/>
      <c r="D109" s="118"/>
      <c r="E109" s="119"/>
      <c r="F109" s="84" t="s">
        <v>98</v>
      </c>
      <c r="G109" s="84" t="s">
        <v>99</v>
      </c>
      <c r="H109" s="72" t="s">
        <v>100</v>
      </c>
      <c r="I109" s="72" t="s">
        <v>130</v>
      </c>
    </row>
    <row r="110" spans="1:9" ht="15.75" x14ac:dyDescent="0.25">
      <c r="A110" s="16" t="s">
        <v>146</v>
      </c>
      <c r="B110" s="68">
        <v>312686</v>
      </c>
      <c r="C110" s="68">
        <v>156343</v>
      </c>
      <c r="D110" s="68">
        <v>156343</v>
      </c>
      <c r="E110" s="68">
        <v>156343</v>
      </c>
      <c r="F110" s="76">
        <f t="shared" si="10"/>
        <v>218880.19999999998</v>
      </c>
      <c r="G110" s="76">
        <f t="shared" si="11"/>
        <v>187611.6</v>
      </c>
      <c r="H110" s="68">
        <v>85421</v>
      </c>
      <c r="I110" s="68">
        <v>85421</v>
      </c>
    </row>
    <row r="111" spans="1:9" ht="15.75" x14ac:dyDescent="0.25">
      <c r="A111" s="18" t="s">
        <v>147</v>
      </c>
      <c r="B111" s="68">
        <v>349723</v>
      </c>
      <c r="C111" s="68">
        <v>174861</v>
      </c>
      <c r="D111" s="68">
        <v>174861</v>
      </c>
      <c r="E111" s="68">
        <v>174861</v>
      </c>
      <c r="F111" s="76">
        <f t="shared" si="10"/>
        <v>244806.09999999998</v>
      </c>
      <c r="G111" s="76">
        <f t="shared" si="11"/>
        <v>209833.8</v>
      </c>
      <c r="H111" s="68">
        <v>95539</v>
      </c>
      <c r="I111" s="68">
        <v>95539</v>
      </c>
    </row>
    <row r="112" spans="1:9" ht="16.5" thickBot="1" x14ac:dyDescent="0.3">
      <c r="A112" s="17" t="s">
        <v>148</v>
      </c>
      <c r="B112" s="68">
        <v>446016</v>
      </c>
      <c r="C112" s="68">
        <v>223008</v>
      </c>
      <c r="D112" s="68">
        <v>223008</v>
      </c>
      <c r="E112" s="68">
        <v>223008</v>
      </c>
      <c r="F112" s="76">
        <f t="shared" si="10"/>
        <v>312211.19999999995</v>
      </c>
      <c r="G112" s="76">
        <f t="shared" si="11"/>
        <v>267609.59999999998</v>
      </c>
      <c r="H112" s="68">
        <v>121845</v>
      </c>
      <c r="I112" s="68">
        <v>121845</v>
      </c>
    </row>
    <row r="113" spans="1:9" ht="16.5" thickBot="1" x14ac:dyDescent="0.3">
      <c r="A113" s="53" t="s">
        <v>79</v>
      </c>
      <c r="B113" s="117" t="s">
        <v>157</v>
      </c>
      <c r="C113" s="118"/>
      <c r="D113" s="118"/>
      <c r="E113" s="119"/>
      <c r="F113" s="84" t="s">
        <v>98</v>
      </c>
      <c r="G113" s="84" t="s">
        <v>99</v>
      </c>
      <c r="H113" s="72" t="s">
        <v>100</v>
      </c>
      <c r="I113" s="72" t="s">
        <v>130</v>
      </c>
    </row>
    <row r="114" spans="1:9" ht="15.75" x14ac:dyDescent="0.25">
      <c r="A114" s="16" t="s">
        <v>80</v>
      </c>
      <c r="B114" s="68">
        <v>128763</v>
      </c>
      <c r="C114" s="68">
        <v>64381</v>
      </c>
      <c r="D114" s="68">
        <v>64381</v>
      </c>
      <c r="E114" s="68">
        <v>64381</v>
      </c>
      <c r="F114" s="76">
        <f t="shared" si="10"/>
        <v>90134.099999999991</v>
      </c>
      <c r="G114" s="76">
        <f t="shared" si="11"/>
        <v>77257.8</v>
      </c>
      <c r="H114" s="68">
        <v>35704</v>
      </c>
      <c r="I114" s="68">
        <v>35704</v>
      </c>
    </row>
    <row r="115" spans="1:9" ht="16.5" thickBot="1" x14ac:dyDescent="0.3">
      <c r="A115" s="17" t="s">
        <v>81</v>
      </c>
      <c r="B115" s="68">
        <v>199762</v>
      </c>
      <c r="C115" s="68">
        <v>99881</v>
      </c>
      <c r="D115" s="68">
        <v>99881</v>
      </c>
      <c r="E115" s="68">
        <v>99881</v>
      </c>
      <c r="F115" s="76">
        <f t="shared" si="10"/>
        <v>139833.4</v>
      </c>
      <c r="G115" s="76">
        <f t="shared" si="11"/>
        <v>119857.2</v>
      </c>
      <c r="H115" s="68">
        <v>55391</v>
      </c>
      <c r="I115" s="68">
        <v>55391</v>
      </c>
    </row>
    <row r="116" spans="1:9" ht="16.5" thickBot="1" x14ac:dyDescent="0.3">
      <c r="A116" s="53" t="s">
        <v>82</v>
      </c>
      <c r="B116" s="117" t="s">
        <v>157</v>
      </c>
      <c r="C116" s="118"/>
      <c r="D116" s="118"/>
      <c r="E116" s="119"/>
      <c r="F116" s="84" t="s">
        <v>98</v>
      </c>
      <c r="G116" s="84" t="s">
        <v>99</v>
      </c>
      <c r="H116" s="72" t="s">
        <v>100</v>
      </c>
      <c r="I116" s="72" t="s">
        <v>130</v>
      </c>
    </row>
    <row r="117" spans="1:9" ht="15.75" x14ac:dyDescent="0.25">
      <c r="A117" s="16" t="s">
        <v>83</v>
      </c>
      <c r="B117" s="68">
        <v>477701</v>
      </c>
      <c r="C117" s="68">
        <v>238851</v>
      </c>
      <c r="D117" s="68">
        <v>238851</v>
      </c>
      <c r="E117" s="68">
        <v>238851</v>
      </c>
      <c r="F117" s="76">
        <f t="shared" si="10"/>
        <v>334390.69999999995</v>
      </c>
      <c r="G117" s="76">
        <f t="shared" si="11"/>
        <v>286620.59999999998</v>
      </c>
      <c r="H117" s="68">
        <v>132458</v>
      </c>
      <c r="I117" s="68">
        <v>132458</v>
      </c>
    </row>
    <row r="118" spans="1:9" ht="15.75" x14ac:dyDescent="0.25">
      <c r="A118" s="18" t="s">
        <v>84</v>
      </c>
      <c r="B118" s="68">
        <v>236516</v>
      </c>
      <c r="C118" s="68">
        <v>118258</v>
      </c>
      <c r="D118" s="68">
        <v>118258</v>
      </c>
      <c r="E118" s="68">
        <v>118258</v>
      </c>
      <c r="F118" s="76">
        <f t="shared" si="10"/>
        <v>165561.19999999998</v>
      </c>
      <c r="G118" s="76">
        <f t="shared" si="11"/>
        <v>141909.6</v>
      </c>
      <c r="H118" s="68">
        <v>65582</v>
      </c>
      <c r="I118" s="68">
        <v>65582</v>
      </c>
    </row>
    <row r="119" spans="1:9" ht="15.75" x14ac:dyDescent="0.25">
      <c r="A119" s="18" t="s">
        <v>85</v>
      </c>
      <c r="B119" s="68">
        <v>274873</v>
      </c>
      <c r="C119" s="68">
        <v>137436</v>
      </c>
      <c r="D119" s="68">
        <v>137436</v>
      </c>
      <c r="E119" s="68">
        <v>137436</v>
      </c>
      <c r="F119" s="76">
        <f t="shared" si="10"/>
        <v>192411.09999999998</v>
      </c>
      <c r="G119" s="76">
        <f t="shared" si="11"/>
        <v>164923.79999999999</v>
      </c>
      <c r="H119" s="68">
        <v>76217</v>
      </c>
      <c r="I119" s="68">
        <v>76217</v>
      </c>
    </row>
    <row r="120" spans="1:9" ht="16.5" thickBot="1" x14ac:dyDescent="0.3">
      <c r="A120" s="17" t="s">
        <v>86</v>
      </c>
      <c r="B120" s="68">
        <v>313203</v>
      </c>
      <c r="C120" s="68">
        <v>156601</v>
      </c>
      <c r="D120" s="68">
        <v>156601</v>
      </c>
      <c r="E120" s="68">
        <v>156601</v>
      </c>
      <c r="F120" s="76">
        <f t="shared" si="10"/>
        <v>219242.09999999998</v>
      </c>
      <c r="G120" s="76">
        <f t="shared" si="11"/>
        <v>187921.8</v>
      </c>
      <c r="H120" s="68">
        <v>86846</v>
      </c>
      <c r="I120" s="68">
        <v>86846</v>
      </c>
    </row>
    <row r="121" spans="1:9" ht="16.5" thickBot="1" x14ac:dyDescent="0.3">
      <c r="A121" s="53" t="s">
        <v>87</v>
      </c>
      <c r="B121" s="117" t="s">
        <v>157</v>
      </c>
      <c r="C121" s="118"/>
      <c r="D121" s="118"/>
      <c r="E121" s="119"/>
      <c r="F121" s="84" t="s">
        <v>98</v>
      </c>
      <c r="G121" s="84" t="s">
        <v>99</v>
      </c>
      <c r="H121" s="72" t="s">
        <v>100</v>
      </c>
      <c r="I121" s="72" t="s">
        <v>130</v>
      </c>
    </row>
    <row r="122" spans="1:9" ht="15.75" x14ac:dyDescent="0.25">
      <c r="A122" s="16" t="s">
        <v>88</v>
      </c>
      <c r="B122" s="68">
        <v>139695</v>
      </c>
      <c r="C122" s="68">
        <v>69848</v>
      </c>
      <c r="D122" s="68">
        <v>69848</v>
      </c>
      <c r="E122" s="68">
        <v>69848</v>
      </c>
      <c r="F122" s="76">
        <f t="shared" si="10"/>
        <v>97786.5</v>
      </c>
      <c r="G122" s="76">
        <f t="shared" si="11"/>
        <v>83817</v>
      </c>
      <c r="H122" s="68">
        <v>38735</v>
      </c>
      <c r="I122" s="68">
        <v>38735</v>
      </c>
    </row>
    <row r="123" spans="1:9" ht="15.75" x14ac:dyDescent="0.25">
      <c r="A123" s="18" t="s">
        <v>89</v>
      </c>
      <c r="B123" s="68">
        <v>153373</v>
      </c>
      <c r="C123" s="68">
        <v>76687</v>
      </c>
      <c r="D123" s="68">
        <v>76687</v>
      </c>
      <c r="E123" s="68">
        <v>76687</v>
      </c>
      <c r="F123" s="76">
        <f t="shared" si="10"/>
        <v>107361.09999999999</v>
      </c>
      <c r="G123" s="76">
        <f t="shared" si="11"/>
        <v>92023.8</v>
      </c>
      <c r="H123" s="68">
        <v>42528</v>
      </c>
      <c r="I123" s="68">
        <v>42528</v>
      </c>
    </row>
    <row r="124" spans="1:9" ht="15.75" x14ac:dyDescent="0.25">
      <c r="A124" s="18" t="s">
        <v>90</v>
      </c>
      <c r="B124" s="68">
        <v>184044</v>
      </c>
      <c r="C124" s="68">
        <v>92022</v>
      </c>
      <c r="D124" s="68">
        <v>92022</v>
      </c>
      <c r="E124" s="68">
        <v>92022</v>
      </c>
      <c r="F124" s="76">
        <f t="shared" si="10"/>
        <v>128830.79999999999</v>
      </c>
      <c r="G124" s="76">
        <f t="shared" si="11"/>
        <v>110426.4</v>
      </c>
      <c r="H124" s="68">
        <v>51032</v>
      </c>
      <c r="I124" s="68">
        <v>51032</v>
      </c>
    </row>
    <row r="125" spans="1:9" ht="16.5" thickBot="1" x14ac:dyDescent="0.3">
      <c r="A125" s="18" t="s">
        <v>91</v>
      </c>
      <c r="B125" s="68">
        <v>49078</v>
      </c>
      <c r="C125" s="68">
        <v>24539</v>
      </c>
      <c r="D125" s="68">
        <v>24539</v>
      </c>
      <c r="E125" s="68">
        <v>24539</v>
      </c>
      <c r="F125" s="76">
        <f t="shared" si="10"/>
        <v>34354.6</v>
      </c>
      <c r="G125" s="76">
        <f t="shared" si="11"/>
        <v>29446.799999999999</v>
      </c>
      <c r="H125" s="68">
        <v>13608</v>
      </c>
      <c r="I125" s="68">
        <v>13608</v>
      </c>
    </row>
    <row r="126" spans="1:9" ht="15.75" x14ac:dyDescent="0.25">
      <c r="A126" s="53" t="s">
        <v>95</v>
      </c>
      <c r="B126" s="117" t="s">
        <v>157</v>
      </c>
      <c r="C126" s="118"/>
      <c r="D126" s="118"/>
      <c r="E126" s="119"/>
      <c r="F126" s="84" t="s">
        <v>98</v>
      </c>
      <c r="G126" s="84" t="s">
        <v>99</v>
      </c>
      <c r="H126" s="72" t="s">
        <v>100</v>
      </c>
      <c r="I126" s="72" t="s">
        <v>130</v>
      </c>
    </row>
    <row r="127" spans="1:9" ht="15.75" x14ac:dyDescent="0.25">
      <c r="A127" s="18" t="s">
        <v>92</v>
      </c>
      <c r="B127" s="68">
        <v>661862</v>
      </c>
      <c r="C127" s="68">
        <v>330931</v>
      </c>
      <c r="D127" s="68">
        <v>330931</v>
      </c>
      <c r="E127" s="68">
        <v>330931</v>
      </c>
      <c r="F127" s="76">
        <f t="shared" si="10"/>
        <v>463303.39999999997</v>
      </c>
      <c r="G127" s="76">
        <f t="shared" si="11"/>
        <v>397117.2</v>
      </c>
      <c r="H127" s="68">
        <v>183523</v>
      </c>
      <c r="I127" s="68">
        <v>183523</v>
      </c>
    </row>
    <row r="128" spans="1:9" ht="15.75" x14ac:dyDescent="0.25">
      <c r="A128" s="18" t="s">
        <v>93</v>
      </c>
      <c r="B128" s="68">
        <v>692556</v>
      </c>
      <c r="C128" s="68">
        <v>346278</v>
      </c>
      <c r="D128" s="68">
        <v>346278</v>
      </c>
      <c r="E128" s="68">
        <v>346278</v>
      </c>
      <c r="F128" s="76">
        <f t="shared" si="10"/>
        <v>484789.19999999995</v>
      </c>
      <c r="G128" s="76">
        <f t="shared" si="11"/>
        <v>415533.6</v>
      </c>
      <c r="H128" s="68">
        <v>192034</v>
      </c>
      <c r="I128" s="68">
        <v>192034</v>
      </c>
    </row>
    <row r="129" spans="1:9" ht="16.5" thickBot="1" x14ac:dyDescent="0.3">
      <c r="A129" s="52" t="s">
        <v>94</v>
      </c>
      <c r="B129" s="68">
        <v>90078</v>
      </c>
      <c r="C129" s="68">
        <v>45039</v>
      </c>
      <c r="D129" s="68">
        <v>45039</v>
      </c>
      <c r="E129" s="68">
        <v>45039</v>
      </c>
      <c r="F129" s="76">
        <f t="shared" si="10"/>
        <v>63054.6</v>
      </c>
      <c r="G129" s="76">
        <f t="shared" si="11"/>
        <v>54046.799999999996</v>
      </c>
      <c r="H129" s="68">
        <v>24977</v>
      </c>
      <c r="I129" s="68">
        <v>24977</v>
      </c>
    </row>
    <row r="130" spans="1:9" ht="18.75" x14ac:dyDescent="0.3">
      <c r="A130" s="56" t="s">
        <v>168</v>
      </c>
      <c r="B130" s="117"/>
      <c r="C130" s="118"/>
      <c r="D130" s="118"/>
      <c r="E130" s="119"/>
      <c r="F130" s="84"/>
      <c r="G130" s="84" t="s">
        <v>99</v>
      </c>
      <c r="H130" s="72" t="s">
        <v>100</v>
      </c>
      <c r="I130" s="72" t="s">
        <v>130</v>
      </c>
    </row>
    <row r="131" spans="1:9" x14ac:dyDescent="0.25">
      <c r="A131" s="11" t="s">
        <v>48</v>
      </c>
      <c r="B131" s="68">
        <f>+G131/0.6</f>
        <v>157351.66666666669</v>
      </c>
      <c r="C131" s="68">
        <v>94411</v>
      </c>
      <c r="D131" s="68">
        <v>94411</v>
      </c>
      <c r="E131" s="68">
        <v>94411</v>
      </c>
      <c r="F131" s="68">
        <f>+B131*0.7</f>
        <v>110146.16666666667</v>
      </c>
      <c r="G131" s="73">
        <f>+E131</f>
        <v>94411</v>
      </c>
      <c r="H131" s="68"/>
      <c r="I131" s="68"/>
    </row>
    <row r="132" spans="1:9" x14ac:dyDescent="0.25">
      <c r="A132" s="11" t="s">
        <v>49</v>
      </c>
      <c r="B132" s="68">
        <f t="shared" ref="B132:B150" si="12">+G132/0.6</f>
        <v>78706.666666666672</v>
      </c>
      <c r="C132" s="68">
        <v>47224</v>
      </c>
      <c r="D132" s="68">
        <v>47224</v>
      </c>
      <c r="E132" s="68">
        <v>47224</v>
      </c>
      <c r="F132" s="68">
        <f t="shared" ref="F132:F151" si="13">+B132*0.7</f>
        <v>55094.666666666664</v>
      </c>
      <c r="G132" s="73">
        <f t="shared" ref="G132:G150" si="14">+E132</f>
        <v>47224</v>
      </c>
      <c r="H132" s="68"/>
      <c r="I132" s="68"/>
    </row>
    <row r="133" spans="1:9" x14ac:dyDescent="0.25">
      <c r="A133" s="11" t="s">
        <v>50</v>
      </c>
      <c r="B133" s="68">
        <f t="shared" si="12"/>
        <v>150468.33333333334</v>
      </c>
      <c r="C133" s="68">
        <v>90281</v>
      </c>
      <c r="D133" s="68">
        <v>90281</v>
      </c>
      <c r="E133" s="68">
        <v>90281</v>
      </c>
      <c r="F133" s="68">
        <f t="shared" si="13"/>
        <v>105327.83333333333</v>
      </c>
      <c r="G133" s="73">
        <f t="shared" si="14"/>
        <v>90281</v>
      </c>
      <c r="H133" s="68"/>
      <c r="I133" s="68"/>
    </row>
    <row r="134" spans="1:9" x14ac:dyDescent="0.25">
      <c r="A134" s="11" t="s">
        <v>51</v>
      </c>
      <c r="B134" s="68">
        <f t="shared" si="12"/>
        <v>141788.33333333334</v>
      </c>
      <c r="C134" s="68">
        <v>85073</v>
      </c>
      <c r="D134" s="68">
        <v>85073</v>
      </c>
      <c r="E134" s="68">
        <v>85073</v>
      </c>
      <c r="F134" s="68">
        <f t="shared" si="13"/>
        <v>99251.833333333328</v>
      </c>
      <c r="G134" s="73">
        <f t="shared" si="14"/>
        <v>85073</v>
      </c>
      <c r="H134" s="68"/>
      <c r="I134" s="68"/>
    </row>
    <row r="135" spans="1:9" hidden="1" x14ac:dyDescent="0.25">
      <c r="A135" s="11" t="s">
        <v>52</v>
      </c>
      <c r="B135" s="68">
        <f t="shared" si="12"/>
        <v>27971.666666666668</v>
      </c>
      <c r="C135" s="68">
        <v>16783</v>
      </c>
      <c r="D135" s="68">
        <v>16783</v>
      </c>
      <c r="E135" s="68">
        <v>16783</v>
      </c>
      <c r="F135" s="68">
        <f t="shared" si="13"/>
        <v>19580.166666666668</v>
      </c>
      <c r="G135" s="73">
        <f t="shared" si="14"/>
        <v>16783</v>
      </c>
      <c r="H135" s="68"/>
      <c r="I135" s="68"/>
    </row>
    <row r="136" spans="1:9" hidden="1" x14ac:dyDescent="0.25">
      <c r="A136" s="11" t="s">
        <v>67</v>
      </c>
      <c r="B136" s="68">
        <f t="shared" si="12"/>
        <v>27971.666666666668</v>
      </c>
      <c r="C136" s="68">
        <v>16783</v>
      </c>
      <c r="D136" s="68">
        <v>16783</v>
      </c>
      <c r="E136" s="68">
        <v>16783</v>
      </c>
      <c r="F136" s="68">
        <f t="shared" si="13"/>
        <v>19580.166666666668</v>
      </c>
      <c r="G136" s="73">
        <f t="shared" si="14"/>
        <v>16783</v>
      </c>
      <c r="H136" s="68"/>
      <c r="I136" s="68"/>
    </row>
    <row r="137" spans="1:9" hidden="1" x14ac:dyDescent="0.25">
      <c r="A137" s="11" t="s">
        <v>65</v>
      </c>
      <c r="B137" s="68">
        <f t="shared" si="12"/>
        <v>27971.666666666668</v>
      </c>
      <c r="C137" s="68">
        <v>16783</v>
      </c>
      <c r="D137" s="68">
        <v>16783</v>
      </c>
      <c r="E137" s="68">
        <v>16783</v>
      </c>
      <c r="F137" s="68">
        <f t="shared" si="13"/>
        <v>19580.166666666668</v>
      </c>
      <c r="G137" s="73">
        <f t="shared" si="14"/>
        <v>16783</v>
      </c>
      <c r="H137" s="68"/>
      <c r="I137" s="68"/>
    </row>
    <row r="138" spans="1:9" hidden="1" x14ac:dyDescent="0.25">
      <c r="A138" s="11" t="s">
        <v>53</v>
      </c>
      <c r="B138" s="68">
        <f t="shared" si="12"/>
        <v>27198.333333333336</v>
      </c>
      <c r="C138" s="68">
        <v>16319</v>
      </c>
      <c r="D138" s="68">
        <v>16319</v>
      </c>
      <c r="E138" s="68">
        <v>16319</v>
      </c>
      <c r="F138" s="68">
        <f t="shared" si="13"/>
        <v>19038.833333333332</v>
      </c>
      <c r="G138" s="73">
        <f t="shared" si="14"/>
        <v>16319</v>
      </c>
      <c r="H138" s="68"/>
      <c r="I138" s="68"/>
    </row>
    <row r="139" spans="1:9" hidden="1" x14ac:dyDescent="0.25">
      <c r="A139" s="11" t="s">
        <v>54</v>
      </c>
      <c r="B139" s="68">
        <f t="shared" si="12"/>
        <v>20146.666666666668</v>
      </c>
      <c r="C139" s="68">
        <v>12088</v>
      </c>
      <c r="D139" s="68">
        <v>12088</v>
      </c>
      <c r="E139" s="68">
        <v>12088</v>
      </c>
      <c r="F139" s="68">
        <f t="shared" si="13"/>
        <v>14102.666666666666</v>
      </c>
      <c r="G139" s="73">
        <f t="shared" si="14"/>
        <v>12088</v>
      </c>
      <c r="H139" s="68"/>
      <c r="I139" s="68"/>
    </row>
    <row r="140" spans="1:9" hidden="1" x14ac:dyDescent="0.25">
      <c r="A140" s="11" t="s">
        <v>55</v>
      </c>
      <c r="B140" s="68">
        <f t="shared" si="12"/>
        <v>22550</v>
      </c>
      <c r="C140" s="68">
        <v>13530</v>
      </c>
      <c r="D140" s="68">
        <v>13530</v>
      </c>
      <c r="E140" s="68">
        <v>13530</v>
      </c>
      <c r="F140" s="68">
        <f t="shared" si="13"/>
        <v>15784.999999999998</v>
      </c>
      <c r="G140" s="73">
        <f t="shared" si="14"/>
        <v>13530</v>
      </c>
      <c r="H140" s="68"/>
      <c r="I140" s="68"/>
    </row>
    <row r="141" spans="1:9" hidden="1" x14ac:dyDescent="0.25">
      <c r="A141" s="11" t="s">
        <v>69</v>
      </c>
      <c r="B141" s="68">
        <f t="shared" si="12"/>
        <v>22550</v>
      </c>
      <c r="C141" s="68">
        <v>13530</v>
      </c>
      <c r="D141" s="68">
        <v>13530</v>
      </c>
      <c r="E141" s="68">
        <v>13530</v>
      </c>
      <c r="F141" s="68">
        <f t="shared" si="13"/>
        <v>15784.999999999998</v>
      </c>
      <c r="G141" s="73">
        <f t="shared" si="14"/>
        <v>13530</v>
      </c>
      <c r="H141" s="68"/>
      <c r="I141" s="68"/>
    </row>
    <row r="142" spans="1:9" hidden="1" x14ac:dyDescent="0.25">
      <c r="A142" s="11" t="s">
        <v>56</v>
      </c>
      <c r="B142" s="68">
        <f t="shared" si="12"/>
        <v>33800</v>
      </c>
      <c r="C142" s="68">
        <v>20280</v>
      </c>
      <c r="D142" s="68">
        <v>20280</v>
      </c>
      <c r="E142" s="68">
        <v>20280</v>
      </c>
      <c r="F142" s="68">
        <f t="shared" si="13"/>
        <v>23660</v>
      </c>
      <c r="G142" s="73">
        <f t="shared" si="14"/>
        <v>20280</v>
      </c>
      <c r="H142" s="68"/>
      <c r="I142" s="68"/>
    </row>
    <row r="143" spans="1:9" hidden="1" x14ac:dyDescent="0.25">
      <c r="A143" s="11" t="s">
        <v>57</v>
      </c>
      <c r="B143" s="68">
        <f t="shared" si="12"/>
        <v>28428.333333333336</v>
      </c>
      <c r="C143" s="68">
        <v>17057</v>
      </c>
      <c r="D143" s="68">
        <v>17057</v>
      </c>
      <c r="E143" s="68">
        <v>17057</v>
      </c>
      <c r="F143" s="68">
        <f t="shared" si="13"/>
        <v>19899.833333333332</v>
      </c>
      <c r="G143" s="73">
        <f t="shared" si="14"/>
        <v>17057</v>
      </c>
      <c r="H143" s="68"/>
      <c r="I143" s="68"/>
    </row>
    <row r="144" spans="1:9" hidden="1" x14ac:dyDescent="0.25">
      <c r="A144" s="11" t="s">
        <v>58</v>
      </c>
      <c r="B144" s="68">
        <f t="shared" si="12"/>
        <v>26893.333333333336</v>
      </c>
      <c r="C144" s="68">
        <v>16136</v>
      </c>
      <c r="D144" s="68">
        <v>16136</v>
      </c>
      <c r="E144" s="68">
        <v>16136</v>
      </c>
      <c r="F144" s="68">
        <f t="shared" si="13"/>
        <v>18825.333333333332</v>
      </c>
      <c r="G144" s="73">
        <f t="shared" si="14"/>
        <v>16136</v>
      </c>
      <c r="H144" s="68"/>
      <c r="I144" s="68"/>
    </row>
    <row r="145" spans="1:12" hidden="1" x14ac:dyDescent="0.25">
      <c r="A145" s="11" t="s">
        <v>59</v>
      </c>
      <c r="B145" s="68">
        <f t="shared" si="12"/>
        <v>26893.333333333336</v>
      </c>
      <c r="C145" s="68">
        <v>16136</v>
      </c>
      <c r="D145" s="68">
        <v>16136</v>
      </c>
      <c r="E145" s="68">
        <v>16136</v>
      </c>
      <c r="F145" s="68">
        <f t="shared" si="13"/>
        <v>18825.333333333332</v>
      </c>
      <c r="G145" s="73">
        <f t="shared" si="14"/>
        <v>16136</v>
      </c>
      <c r="H145" s="68"/>
      <c r="I145" s="68"/>
    </row>
    <row r="146" spans="1:12" hidden="1" x14ac:dyDescent="0.25">
      <c r="A146" s="11" t="s">
        <v>60</v>
      </c>
      <c r="B146" s="68">
        <f t="shared" si="12"/>
        <v>27198.333333333336</v>
      </c>
      <c r="C146" s="68">
        <v>16319</v>
      </c>
      <c r="D146" s="68">
        <v>16319</v>
      </c>
      <c r="E146" s="68">
        <v>16319</v>
      </c>
      <c r="F146" s="68">
        <f t="shared" si="13"/>
        <v>19038.833333333332</v>
      </c>
      <c r="G146" s="73">
        <f t="shared" si="14"/>
        <v>16319</v>
      </c>
      <c r="H146" s="68"/>
      <c r="I146" s="68"/>
    </row>
    <row r="147" spans="1:12" hidden="1" x14ac:dyDescent="0.25">
      <c r="A147" s="11" t="s">
        <v>61</v>
      </c>
      <c r="B147" s="68">
        <f t="shared" si="12"/>
        <v>32386.666666666668</v>
      </c>
      <c r="C147" s="68">
        <v>19432</v>
      </c>
      <c r="D147" s="68">
        <v>19432</v>
      </c>
      <c r="E147" s="68">
        <v>19432</v>
      </c>
      <c r="F147" s="68">
        <f t="shared" si="13"/>
        <v>22670.666666666668</v>
      </c>
      <c r="G147" s="73">
        <f t="shared" si="14"/>
        <v>19432</v>
      </c>
      <c r="H147" s="68"/>
      <c r="I147" s="68"/>
    </row>
    <row r="148" spans="1:12" hidden="1" x14ac:dyDescent="0.25">
      <c r="A148" s="11" t="s">
        <v>62</v>
      </c>
      <c r="B148" s="68">
        <f t="shared" si="12"/>
        <v>23586.666666666668</v>
      </c>
      <c r="C148" s="68">
        <v>14152</v>
      </c>
      <c r="D148" s="68">
        <v>14152</v>
      </c>
      <c r="E148" s="68">
        <v>14152</v>
      </c>
      <c r="F148" s="68">
        <f t="shared" si="13"/>
        <v>16510.666666666668</v>
      </c>
      <c r="G148" s="73">
        <f t="shared" si="14"/>
        <v>14152</v>
      </c>
      <c r="H148" s="68"/>
      <c r="I148" s="68"/>
    </row>
    <row r="149" spans="1:12" x14ac:dyDescent="0.25">
      <c r="A149" s="11" t="s">
        <v>63</v>
      </c>
      <c r="B149" s="68">
        <f t="shared" si="12"/>
        <v>57160</v>
      </c>
      <c r="C149" s="68">
        <v>34296</v>
      </c>
      <c r="D149" s="68">
        <v>34296</v>
      </c>
      <c r="E149" s="68">
        <v>34296</v>
      </c>
      <c r="F149" s="68">
        <f t="shared" si="13"/>
        <v>40012</v>
      </c>
      <c r="G149" s="73">
        <f t="shared" si="14"/>
        <v>34296</v>
      </c>
      <c r="H149" s="68"/>
      <c r="I149" s="68"/>
    </row>
    <row r="150" spans="1:12" x14ac:dyDescent="0.25">
      <c r="A150" s="11" t="s">
        <v>64</v>
      </c>
      <c r="B150" s="68">
        <f t="shared" si="12"/>
        <v>61121.666666666672</v>
      </c>
      <c r="C150" s="68">
        <v>36673</v>
      </c>
      <c r="D150" s="68">
        <v>36673</v>
      </c>
      <c r="E150" s="68">
        <v>36673</v>
      </c>
      <c r="F150" s="68">
        <f t="shared" si="13"/>
        <v>42785.166666666664</v>
      </c>
      <c r="G150" s="73">
        <f t="shared" si="14"/>
        <v>36673</v>
      </c>
      <c r="H150" s="68"/>
      <c r="I150" s="68"/>
    </row>
    <row r="151" spans="1:12" ht="15.75" thickBot="1" x14ac:dyDescent="0.3">
      <c r="A151" s="65" t="s">
        <v>66</v>
      </c>
      <c r="B151" s="113">
        <v>70000</v>
      </c>
      <c r="C151" s="113">
        <v>40000</v>
      </c>
      <c r="D151" s="113">
        <v>40000</v>
      </c>
      <c r="E151" s="113">
        <v>40000</v>
      </c>
      <c r="F151" s="113">
        <f t="shared" si="13"/>
        <v>49000</v>
      </c>
      <c r="G151" s="100">
        <f>+B151*0.6</f>
        <v>42000</v>
      </c>
      <c r="H151" s="113">
        <v>20000</v>
      </c>
      <c r="I151" s="113">
        <v>20000</v>
      </c>
    </row>
    <row r="152" spans="1:12" ht="19.5" thickBot="1" x14ac:dyDescent="0.35">
      <c r="A152" s="114" t="s">
        <v>0</v>
      </c>
      <c r="B152" s="115"/>
      <c r="C152" s="115"/>
      <c r="D152" s="115"/>
      <c r="E152" s="115"/>
      <c r="F152" s="115"/>
      <c r="G152" s="115"/>
      <c r="H152" s="115"/>
      <c r="I152" s="116"/>
    </row>
    <row r="153" spans="1:12" s="12" customFormat="1" ht="16.5" thickBot="1" x14ac:dyDescent="0.3">
      <c r="A153" s="90" t="s">
        <v>4</v>
      </c>
      <c r="B153" s="124"/>
      <c r="C153" s="98"/>
      <c r="D153" s="98"/>
      <c r="E153" s="98"/>
      <c r="F153" s="98"/>
      <c r="G153" s="98" t="s">
        <v>99</v>
      </c>
      <c r="H153" s="98" t="s">
        <v>100</v>
      </c>
      <c r="I153" s="99" t="s">
        <v>130</v>
      </c>
      <c r="K153" s="63" t="s">
        <v>160</v>
      </c>
      <c r="L153" s="69">
        <v>12000</v>
      </c>
    </row>
    <row r="154" spans="1:12" s="12" customFormat="1" ht="15.75" x14ac:dyDescent="0.25">
      <c r="A154" s="23" t="s">
        <v>167</v>
      </c>
      <c r="B154" s="87"/>
      <c r="C154" s="87"/>
      <c r="D154" s="87"/>
      <c r="E154" s="87"/>
      <c r="F154" s="87"/>
      <c r="G154" s="87">
        <f>+$L$153</f>
        <v>12000</v>
      </c>
      <c r="H154" s="87">
        <f t="shared" ref="H154:I154" si="15">+$L$153</f>
        <v>12000</v>
      </c>
      <c r="I154" s="106">
        <f t="shared" si="15"/>
        <v>12000</v>
      </c>
    </row>
    <row r="155" spans="1:12" s="12" customFormat="1" ht="15.75" x14ac:dyDescent="0.25">
      <c r="A155" s="23" t="s">
        <v>166</v>
      </c>
      <c r="B155" s="85"/>
      <c r="C155" s="85"/>
      <c r="D155" s="85"/>
      <c r="E155" s="85"/>
      <c r="F155" s="85"/>
      <c r="G155" s="86">
        <v>25000</v>
      </c>
      <c r="H155" s="85">
        <f>+G155</f>
        <v>25000</v>
      </c>
      <c r="I155" s="101">
        <f>+G155</f>
        <v>25000</v>
      </c>
      <c r="K155" s="63" t="s">
        <v>135</v>
      </c>
      <c r="L155" s="69">
        <v>22000</v>
      </c>
    </row>
    <row r="156" spans="1:12" s="12" customFormat="1" ht="15.75" x14ac:dyDescent="0.25">
      <c r="A156" s="23" t="s">
        <v>216</v>
      </c>
      <c r="B156" s="85"/>
      <c r="C156" s="85"/>
      <c r="D156" s="85"/>
      <c r="E156" s="85"/>
      <c r="F156" s="85"/>
      <c r="G156" s="85">
        <f t="shared" ref="G156:G166" si="16">+$L$155</f>
        <v>22000</v>
      </c>
      <c r="H156" s="85">
        <f t="shared" ref="H156:I166" si="17">+$L$155</f>
        <v>22000</v>
      </c>
      <c r="I156" s="101">
        <f t="shared" si="17"/>
        <v>22000</v>
      </c>
    </row>
    <row r="157" spans="1:12" s="12" customFormat="1" ht="15.75" x14ac:dyDescent="0.25">
      <c r="A157" s="23" t="s">
        <v>217</v>
      </c>
      <c r="B157" s="85"/>
      <c r="C157" s="85"/>
      <c r="D157" s="85"/>
      <c r="E157" s="85"/>
      <c r="F157" s="85"/>
      <c r="G157" s="85">
        <f t="shared" si="16"/>
        <v>22000</v>
      </c>
      <c r="H157" s="85">
        <f t="shared" si="17"/>
        <v>22000</v>
      </c>
      <c r="I157" s="101">
        <f t="shared" si="17"/>
        <v>22000</v>
      </c>
    </row>
    <row r="158" spans="1:12" s="12" customFormat="1" ht="15.75" x14ac:dyDescent="0.25">
      <c r="A158" s="23" t="s">
        <v>218</v>
      </c>
      <c r="B158" s="85"/>
      <c r="C158" s="85"/>
      <c r="D158" s="85"/>
      <c r="E158" s="85"/>
      <c r="F158" s="85"/>
      <c r="G158" s="85">
        <f t="shared" si="16"/>
        <v>22000</v>
      </c>
      <c r="H158" s="85">
        <f t="shared" si="17"/>
        <v>22000</v>
      </c>
      <c r="I158" s="101">
        <f t="shared" si="17"/>
        <v>22000</v>
      </c>
    </row>
    <row r="159" spans="1:12" s="12" customFormat="1" ht="15.75" x14ac:dyDescent="0.25">
      <c r="A159" s="23" t="s">
        <v>219</v>
      </c>
      <c r="B159" s="85"/>
      <c r="C159" s="85"/>
      <c r="D159" s="85"/>
      <c r="E159" s="85"/>
      <c r="F159" s="85"/>
      <c r="G159" s="85">
        <f t="shared" si="16"/>
        <v>22000</v>
      </c>
      <c r="H159" s="85">
        <f t="shared" si="17"/>
        <v>22000</v>
      </c>
      <c r="I159" s="101">
        <f t="shared" si="17"/>
        <v>22000</v>
      </c>
    </row>
    <row r="160" spans="1:12" s="12" customFormat="1" ht="15.75" x14ac:dyDescent="0.25">
      <c r="A160" s="23" t="s">
        <v>220</v>
      </c>
      <c r="B160" s="85"/>
      <c r="C160" s="85"/>
      <c r="D160" s="85"/>
      <c r="E160" s="85"/>
      <c r="F160" s="85"/>
      <c r="G160" s="85">
        <f t="shared" si="16"/>
        <v>22000</v>
      </c>
      <c r="H160" s="85">
        <f t="shared" si="17"/>
        <v>22000</v>
      </c>
      <c r="I160" s="101">
        <f t="shared" si="17"/>
        <v>22000</v>
      </c>
    </row>
    <row r="161" spans="1:12" s="12" customFormat="1" ht="15.75" x14ac:dyDescent="0.25">
      <c r="A161" s="23" t="s">
        <v>221</v>
      </c>
      <c r="B161" s="85"/>
      <c r="C161" s="85"/>
      <c r="D161" s="85"/>
      <c r="E161" s="85"/>
      <c r="F161" s="85"/>
      <c r="G161" s="85">
        <f t="shared" si="16"/>
        <v>22000</v>
      </c>
      <c r="H161" s="85">
        <f t="shared" si="17"/>
        <v>22000</v>
      </c>
      <c r="I161" s="101">
        <f t="shared" si="17"/>
        <v>22000</v>
      </c>
    </row>
    <row r="162" spans="1:12" s="12" customFormat="1" ht="15.75" x14ac:dyDescent="0.25">
      <c r="A162" s="23" t="s">
        <v>222</v>
      </c>
      <c r="B162" s="85"/>
      <c r="C162" s="85"/>
      <c r="D162" s="85"/>
      <c r="E162" s="85"/>
      <c r="F162" s="85"/>
      <c r="G162" s="85">
        <f t="shared" si="16"/>
        <v>22000</v>
      </c>
      <c r="H162" s="85">
        <f t="shared" si="17"/>
        <v>22000</v>
      </c>
      <c r="I162" s="101">
        <f t="shared" si="17"/>
        <v>22000</v>
      </c>
    </row>
    <row r="163" spans="1:12" s="12" customFormat="1" ht="15.75" x14ac:dyDescent="0.25">
      <c r="A163" s="23" t="s">
        <v>169</v>
      </c>
      <c r="B163" s="85"/>
      <c r="C163" s="85"/>
      <c r="D163" s="85"/>
      <c r="E163" s="85"/>
      <c r="F163" s="85"/>
      <c r="G163" s="85">
        <f t="shared" si="16"/>
        <v>22000</v>
      </c>
      <c r="H163" s="85">
        <f t="shared" si="17"/>
        <v>22000</v>
      </c>
      <c r="I163" s="101">
        <f t="shared" si="17"/>
        <v>22000</v>
      </c>
    </row>
    <row r="164" spans="1:12" s="12" customFormat="1" ht="15.75" x14ac:dyDescent="0.25">
      <c r="A164" s="23" t="s">
        <v>223</v>
      </c>
      <c r="B164" s="85"/>
      <c r="C164" s="85"/>
      <c r="D164" s="85"/>
      <c r="E164" s="85"/>
      <c r="F164" s="85"/>
      <c r="G164" s="85">
        <f t="shared" si="16"/>
        <v>22000</v>
      </c>
      <c r="H164" s="85">
        <f t="shared" si="17"/>
        <v>22000</v>
      </c>
      <c r="I164" s="101">
        <f t="shared" si="17"/>
        <v>22000</v>
      </c>
    </row>
    <row r="165" spans="1:12" s="12" customFormat="1" ht="15.75" x14ac:dyDescent="0.25">
      <c r="A165" s="23" t="s">
        <v>224</v>
      </c>
      <c r="B165" s="85"/>
      <c r="C165" s="85"/>
      <c r="D165" s="85"/>
      <c r="E165" s="85"/>
      <c r="F165" s="85"/>
      <c r="G165" s="85">
        <f t="shared" si="16"/>
        <v>22000</v>
      </c>
      <c r="H165" s="85">
        <f t="shared" si="17"/>
        <v>22000</v>
      </c>
      <c r="I165" s="101">
        <f t="shared" si="17"/>
        <v>22000</v>
      </c>
    </row>
    <row r="166" spans="1:12" s="12" customFormat="1" ht="16.5" thickBot="1" x14ac:dyDescent="0.3">
      <c r="A166" s="22" t="s">
        <v>225</v>
      </c>
      <c r="B166" s="103"/>
      <c r="C166" s="103"/>
      <c r="D166" s="103"/>
      <c r="E166" s="103"/>
      <c r="F166" s="103"/>
      <c r="G166" s="103">
        <f t="shared" si="16"/>
        <v>22000</v>
      </c>
      <c r="H166" s="103">
        <f t="shared" si="17"/>
        <v>22000</v>
      </c>
      <c r="I166" s="104">
        <f t="shared" si="17"/>
        <v>22000</v>
      </c>
    </row>
    <row r="167" spans="1:12" s="12" customFormat="1" ht="16.5" hidden="1" thickBot="1" x14ac:dyDescent="0.3">
      <c r="A167" s="23" t="s">
        <v>137</v>
      </c>
      <c r="B167" s="87"/>
      <c r="C167" s="87"/>
      <c r="D167" s="87"/>
      <c r="E167" s="87"/>
      <c r="F167" s="87"/>
      <c r="G167" s="105">
        <v>32000</v>
      </c>
      <c r="H167" s="105">
        <f t="shared" ref="H167:H168" si="18">+H166</f>
        <v>22000</v>
      </c>
      <c r="I167" s="87"/>
    </row>
    <row r="168" spans="1:12" s="12" customFormat="1" ht="16.5" hidden="1" thickBot="1" x14ac:dyDescent="0.3">
      <c r="A168" s="19" t="s">
        <v>136</v>
      </c>
      <c r="B168" s="92"/>
      <c r="C168" s="92"/>
      <c r="D168" s="92"/>
      <c r="E168" s="92"/>
      <c r="F168" s="92"/>
      <c r="G168" s="91">
        <v>32000</v>
      </c>
      <c r="H168" s="91">
        <f t="shared" si="18"/>
        <v>22000</v>
      </c>
      <c r="I168" s="92"/>
    </row>
    <row r="169" spans="1:12" ht="16.5" thickBot="1" x14ac:dyDescent="0.3">
      <c r="A169" s="90" t="s">
        <v>170</v>
      </c>
      <c r="B169" s="124"/>
      <c r="C169" s="125"/>
      <c r="D169" s="125"/>
      <c r="E169" s="98"/>
      <c r="F169" s="98"/>
      <c r="G169" s="98" t="s">
        <v>99</v>
      </c>
      <c r="H169" s="99" t="s">
        <v>100</v>
      </c>
      <c r="I169" s="99" t="s">
        <v>130</v>
      </c>
    </row>
    <row r="170" spans="1:12" x14ac:dyDescent="0.25">
      <c r="A170" s="8" t="s">
        <v>5</v>
      </c>
      <c r="B170" s="96"/>
      <c r="C170" s="96"/>
      <c r="D170" s="96"/>
      <c r="E170" s="96"/>
      <c r="F170" s="96"/>
      <c r="G170" s="95">
        <v>24000</v>
      </c>
      <c r="H170" s="96">
        <f>+G170</f>
        <v>24000</v>
      </c>
      <c r="I170" s="97">
        <f>+G170</f>
        <v>24000</v>
      </c>
    </row>
    <row r="171" spans="1:12" ht="15.75" hidden="1" thickBot="1" x14ac:dyDescent="0.3">
      <c r="A171" s="10" t="s">
        <v>129</v>
      </c>
      <c r="B171" s="74"/>
      <c r="C171" s="74"/>
      <c r="D171" s="74"/>
      <c r="E171" s="74"/>
      <c r="F171" s="74"/>
      <c r="G171" s="74"/>
      <c r="H171" s="74">
        <f t="shared" ref="H171:I211" si="19">+G171</f>
        <v>0</v>
      </c>
      <c r="I171" s="93">
        <f t="shared" si="19"/>
        <v>0</v>
      </c>
    </row>
    <row r="172" spans="1:12" x14ac:dyDescent="0.25">
      <c r="A172" s="9" t="s">
        <v>171</v>
      </c>
      <c r="B172" s="88"/>
      <c r="C172" s="88"/>
      <c r="D172" s="88"/>
      <c r="E172" s="88"/>
      <c r="F172" s="88"/>
      <c r="G172" s="88">
        <f t="shared" ref="G172:I172" si="20">$L$172</f>
        <v>16640</v>
      </c>
      <c r="H172" s="88">
        <f t="shared" si="20"/>
        <v>16640</v>
      </c>
      <c r="I172" s="94">
        <f t="shared" si="20"/>
        <v>16640</v>
      </c>
      <c r="K172" s="63" t="s">
        <v>160</v>
      </c>
      <c r="L172" s="69">
        <v>16640</v>
      </c>
    </row>
    <row r="173" spans="1:12" x14ac:dyDescent="0.25">
      <c r="A173" s="9" t="s">
        <v>159</v>
      </c>
      <c r="B173" s="88"/>
      <c r="C173" s="88"/>
      <c r="D173" s="88"/>
      <c r="E173" s="88"/>
      <c r="F173" s="88"/>
      <c r="G173" s="88">
        <f>$L$173</f>
        <v>9600</v>
      </c>
      <c r="H173" s="88">
        <f t="shared" ref="H173:I173" si="21">$L$173</f>
        <v>9600</v>
      </c>
      <c r="I173" s="94">
        <f t="shared" si="21"/>
        <v>9600</v>
      </c>
      <c r="K173" s="63" t="s">
        <v>159</v>
      </c>
      <c r="L173" s="69">
        <v>9600</v>
      </c>
    </row>
    <row r="174" spans="1:12" x14ac:dyDescent="0.25">
      <c r="A174" s="9" t="s">
        <v>172</v>
      </c>
      <c r="B174" s="88"/>
      <c r="C174" s="88"/>
      <c r="D174" s="88"/>
      <c r="E174" s="88"/>
      <c r="F174" s="88"/>
      <c r="G174" s="88">
        <f>$L$172</f>
        <v>16640</v>
      </c>
      <c r="H174" s="88">
        <f t="shared" ref="H174:I174" si="22">$L$172</f>
        <v>16640</v>
      </c>
      <c r="I174" s="94">
        <f t="shared" si="22"/>
        <v>16640</v>
      </c>
      <c r="L174" s="67"/>
    </row>
    <row r="175" spans="1:12" x14ac:dyDescent="0.25">
      <c r="A175" s="9" t="s">
        <v>159</v>
      </c>
      <c r="B175" s="88"/>
      <c r="C175" s="88"/>
      <c r="D175" s="88"/>
      <c r="E175" s="88"/>
      <c r="F175" s="88"/>
      <c r="G175" s="88">
        <f>$L$173</f>
        <v>9600</v>
      </c>
      <c r="H175" s="88">
        <f t="shared" ref="H175:I175" si="23">$L$173</f>
        <v>9600</v>
      </c>
      <c r="I175" s="94">
        <f t="shared" si="23"/>
        <v>9600</v>
      </c>
      <c r="K175" s="63" t="s">
        <v>135</v>
      </c>
      <c r="L175" s="69">
        <v>32000</v>
      </c>
    </row>
    <row r="176" spans="1:12" x14ac:dyDescent="0.25">
      <c r="A176" s="9" t="s">
        <v>173</v>
      </c>
      <c r="B176" s="88"/>
      <c r="C176" s="88"/>
      <c r="D176" s="88"/>
      <c r="E176" s="88"/>
      <c r="F176" s="88"/>
      <c r="G176" s="88">
        <f t="shared" ref="G176:I184" si="24">$L$172</f>
        <v>16640</v>
      </c>
      <c r="H176" s="88">
        <f t="shared" si="24"/>
        <v>16640</v>
      </c>
      <c r="I176" s="94">
        <f t="shared" si="24"/>
        <v>16640</v>
      </c>
    </row>
    <row r="177" spans="1:9" x14ac:dyDescent="0.25">
      <c r="A177" s="9" t="s">
        <v>159</v>
      </c>
      <c r="B177" s="88"/>
      <c r="C177" s="88"/>
      <c r="D177" s="88"/>
      <c r="E177" s="88"/>
      <c r="F177" s="88"/>
      <c r="G177" s="88">
        <f>$L$173</f>
        <v>9600</v>
      </c>
      <c r="H177" s="88">
        <f t="shared" ref="H177:I177" si="25">$L$173</f>
        <v>9600</v>
      </c>
      <c r="I177" s="94">
        <f t="shared" si="25"/>
        <v>9600</v>
      </c>
    </row>
    <row r="178" spans="1:9" x14ac:dyDescent="0.25">
      <c r="A178" s="9" t="s">
        <v>174</v>
      </c>
      <c r="B178" s="88"/>
      <c r="C178" s="88"/>
      <c r="D178" s="88"/>
      <c r="E178" s="88"/>
      <c r="F178" s="88"/>
      <c r="G178" s="88">
        <f t="shared" si="24"/>
        <v>16640</v>
      </c>
      <c r="H178" s="88">
        <f t="shared" si="24"/>
        <v>16640</v>
      </c>
      <c r="I178" s="94">
        <f t="shared" si="24"/>
        <v>16640</v>
      </c>
    </row>
    <row r="179" spans="1:9" x14ac:dyDescent="0.25">
      <c r="A179" s="9" t="s">
        <v>159</v>
      </c>
      <c r="B179" s="88"/>
      <c r="C179" s="88"/>
      <c r="D179" s="88"/>
      <c r="E179" s="88"/>
      <c r="F179" s="88"/>
      <c r="G179" s="88">
        <f>$L$173</f>
        <v>9600</v>
      </c>
      <c r="H179" s="88">
        <f t="shared" ref="H179:I179" si="26">$L$173</f>
        <v>9600</v>
      </c>
      <c r="I179" s="94">
        <f t="shared" si="26"/>
        <v>9600</v>
      </c>
    </row>
    <row r="180" spans="1:9" x14ac:dyDescent="0.25">
      <c r="A180" s="9" t="s">
        <v>175</v>
      </c>
      <c r="B180" s="88"/>
      <c r="C180" s="88"/>
      <c r="D180" s="88"/>
      <c r="E180" s="88"/>
      <c r="F180" s="88"/>
      <c r="G180" s="88">
        <f t="shared" si="24"/>
        <v>16640</v>
      </c>
      <c r="H180" s="88">
        <f t="shared" si="24"/>
        <v>16640</v>
      </c>
      <c r="I180" s="94">
        <f t="shared" si="24"/>
        <v>16640</v>
      </c>
    </row>
    <row r="181" spans="1:9" x14ac:dyDescent="0.25">
      <c r="A181" s="9" t="s">
        <v>159</v>
      </c>
      <c r="B181" s="88"/>
      <c r="C181" s="88"/>
      <c r="D181" s="88"/>
      <c r="E181" s="88"/>
      <c r="F181" s="88"/>
      <c r="G181" s="88">
        <f>$L$173</f>
        <v>9600</v>
      </c>
      <c r="H181" s="88">
        <f t="shared" ref="H181:I181" si="27">$L$173</f>
        <v>9600</v>
      </c>
      <c r="I181" s="94">
        <f t="shared" si="27"/>
        <v>9600</v>
      </c>
    </row>
    <row r="182" spans="1:9" x14ac:dyDescent="0.25">
      <c r="A182" s="9" t="s">
        <v>176</v>
      </c>
      <c r="B182" s="88"/>
      <c r="C182" s="88"/>
      <c r="D182" s="88"/>
      <c r="E182" s="88"/>
      <c r="F182" s="88"/>
      <c r="G182" s="88">
        <f t="shared" si="24"/>
        <v>16640</v>
      </c>
      <c r="H182" s="88">
        <f t="shared" si="24"/>
        <v>16640</v>
      </c>
      <c r="I182" s="94">
        <f t="shared" si="24"/>
        <v>16640</v>
      </c>
    </row>
    <row r="183" spans="1:9" x14ac:dyDescent="0.25">
      <c r="A183" s="9" t="s">
        <v>159</v>
      </c>
      <c r="B183" s="88"/>
      <c r="C183" s="88"/>
      <c r="D183" s="88"/>
      <c r="E183" s="88"/>
      <c r="F183" s="88"/>
      <c r="G183" s="88">
        <f>$L$173</f>
        <v>9600</v>
      </c>
      <c r="H183" s="88">
        <f t="shared" ref="H183:I183" si="28">$L$173</f>
        <v>9600</v>
      </c>
      <c r="I183" s="94">
        <f t="shared" si="28"/>
        <v>9600</v>
      </c>
    </row>
    <row r="184" spans="1:9" ht="14.25" customHeight="1" x14ac:dyDescent="0.25">
      <c r="A184" s="9" t="s">
        <v>177</v>
      </c>
      <c r="B184" s="88"/>
      <c r="C184" s="88"/>
      <c r="D184" s="88"/>
      <c r="E184" s="88"/>
      <c r="F184" s="88"/>
      <c r="G184" s="88">
        <f t="shared" si="24"/>
        <v>16640</v>
      </c>
      <c r="H184" s="88">
        <f t="shared" si="24"/>
        <v>16640</v>
      </c>
      <c r="I184" s="94">
        <f t="shared" si="24"/>
        <v>16640</v>
      </c>
    </row>
    <row r="185" spans="1:9" ht="14.25" customHeight="1" x14ac:dyDescent="0.25">
      <c r="A185" s="9" t="s">
        <v>159</v>
      </c>
      <c r="B185" s="88"/>
      <c r="C185" s="88"/>
      <c r="D185" s="88"/>
      <c r="E185" s="88"/>
      <c r="F185" s="88"/>
      <c r="G185" s="88">
        <f>$L$173</f>
        <v>9600</v>
      </c>
      <c r="H185" s="88">
        <f t="shared" ref="H185:I185" si="29">$L$173</f>
        <v>9600</v>
      </c>
      <c r="I185" s="94">
        <f t="shared" si="29"/>
        <v>9600</v>
      </c>
    </row>
    <row r="186" spans="1:9" x14ac:dyDescent="0.25">
      <c r="A186" s="66" t="s">
        <v>162</v>
      </c>
      <c r="B186" s="88"/>
      <c r="C186" s="88"/>
      <c r="D186" s="88"/>
      <c r="E186" s="88"/>
      <c r="F186" s="88"/>
      <c r="G186" s="89">
        <v>36000</v>
      </c>
      <c r="H186" s="88">
        <f t="shared" si="19"/>
        <v>36000</v>
      </c>
      <c r="I186" s="94">
        <f>+G186</f>
        <v>36000</v>
      </c>
    </row>
    <row r="187" spans="1:9" x14ac:dyDescent="0.25">
      <c r="A187" s="9" t="s">
        <v>178</v>
      </c>
      <c r="B187" s="88"/>
      <c r="C187" s="88"/>
      <c r="D187" s="88"/>
      <c r="E187" s="88"/>
      <c r="F187" s="88"/>
      <c r="G187" s="88">
        <f>$L$175</f>
        <v>32000</v>
      </c>
      <c r="H187" s="88">
        <f t="shared" ref="H187:I187" si="30">$L$175</f>
        <v>32000</v>
      </c>
      <c r="I187" s="94">
        <f t="shared" si="30"/>
        <v>32000</v>
      </c>
    </row>
    <row r="188" spans="1:9" x14ac:dyDescent="0.25">
      <c r="A188" s="9" t="s">
        <v>179</v>
      </c>
      <c r="B188" s="88"/>
      <c r="C188" s="88"/>
      <c r="D188" s="88"/>
      <c r="E188" s="88"/>
      <c r="F188" s="88"/>
      <c r="G188" s="88">
        <f t="shared" ref="G188:I205" si="31">$L$175</f>
        <v>32000</v>
      </c>
      <c r="H188" s="88">
        <f t="shared" si="31"/>
        <v>32000</v>
      </c>
      <c r="I188" s="94">
        <f t="shared" si="31"/>
        <v>32000</v>
      </c>
    </row>
    <row r="189" spans="1:9" x14ac:dyDescent="0.25">
      <c r="A189" s="9" t="s">
        <v>180</v>
      </c>
      <c r="B189" s="88"/>
      <c r="C189" s="88"/>
      <c r="D189" s="88"/>
      <c r="E189" s="88"/>
      <c r="F189" s="88"/>
      <c r="G189" s="88">
        <f>$L$175</f>
        <v>32000</v>
      </c>
      <c r="H189" s="88">
        <f t="shared" si="31"/>
        <v>32000</v>
      </c>
      <c r="I189" s="94">
        <f t="shared" si="31"/>
        <v>32000</v>
      </c>
    </row>
    <row r="190" spans="1:9" x14ac:dyDescent="0.25">
      <c r="A190" s="9" t="s">
        <v>181</v>
      </c>
      <c r="B190" s="88"/>
      <c r="C190" s="88"/>
      <c r="D190" s="88"/>
      <c r="E190" s="88"/>
      <c r="F190" s="88"/>
      <c r="G190" s="88">
        <f t="shared" si="31"/>
        <v>32000</v>
      </c>
      <c r="H190" s="88">
        <f t="shared" si="31"/>
        <v>32000</v>
      </c>
      <c r="I190" s="94">
        <f t="shared" si="31"/>
        <v>32000</v>
      </c>
    </row>
    <row r="191" spans="1:9" x14ac:dyDescent="0.25">
      <c r="A191" s="9" t="s">
        <v>182</v>
      </c>
      <c r="B191" s="88"/>
      <c r="C191" s="88"/>
      <c r="D191" s="88"/>
      <c r="E191" s="88"/>
      <c r="F191" s="88"/>
      <c r="G191" s="88">
        <f t="shared" si="31"/>
        <v>32000</v>
      </c>
      <c r="H191" s="88">
        <f t="shared" si="31"/>
        <v>32000</v>
      </c>
      <c r="I191" s="94">
        <f t="shared" si="31"/>
        <v>32000</v>
      </c>
    </row>
    <row r="192" spans="1:9" x14ac:dyDescent="0.25">
      <c r="A192" s="9" t="s">
        <v>56</v>
      </c>
      <c r="B192" s="88"/>
      <c r="C192" s="88"/>
      <c r="D192" s="88"/>
      <c r="E192" s="88"/>
      <c r="F192" s="88"/>
      <c r="G192" s="88">
        <f t="shared" si="31"/>
        <v>32000</v>
      </c>
      <c r="H192" s="88">
        <f t="shared" si="31"/>
        <v>32000</v>
      </c>
      <c r="I192" s="94">
        <f t="shared" si="31"/>
        <v>32000</v>
      </c>
    </row>
    <row r="193" spans="1:9" x14ac:dyDescent="0.25">
      <c r="A193" s="9" t="s">
        <v>57</v>
      </c>
      <c r="B193" s="88"/>
      <c r="C193" s="88"/>
      <c r="D193" s="88"/>
      <c r="E193" s="88"/>
      <c r="F193" s="88"/>
      <c r="G193" s="88">
        <f t="shared" si="31"/>
        <v>32000</v>
      </c>
      <c r="H193" s="88">
        <f t="shared" si="31"/>
        <v>32000</v>
      </c>
      <c r="I193" s="94">
        <f t="shared" si="31"/>
        <v>32000</v>
      </c>
    </row>
    <row r="194" spans="1:9" x14ac:dyDescent="0.25">
      <c r="A194" s="9" t="s">
        <v>183</v>
      </c>
      <c r="B194" s="88"/>
      <c r="C194" s="88"/>
      <c r="D194" s="88"/>
      <c r="E194" s="88"/>
      <c r="F194" s="88"/>
      <c r="G194" s="88">
        <f t="shared" si="31"/>
        <v>32000</v>
      </c>
      <c r="H194" s="88">
        <f t="shared" si="31"/>
        <v>32000</v>
      </c>
      <c r="I194" s="94">
        <f t="shared" si="31"/>
        <v>32000</v>
      </c>
    </row>
    <row r="195" spans="1:9" x14ac:dyDescent="0.25">
      <c r="A195" s="9" t="s">
        <v>184</v>
      </c>
      <c r="B195" s="88"/>
      <c r="C195" s="88"/>
      <c r="D195" s="88"/>
      <c r="E195" s="88"/>
      <c r="F195" s="88"/>
      <c r="G195" s="88">
        <f t="shared" si="31"/>
        <v>32000</v>
      </c>
      <c r="H195" s="88">
        <f t="shared" si="31"/>
        <v>32000</v>
      </c>
      <c r="I195" s="94">
        <f t="shared" si="31"/>
        <v>32000</v>
      </c>
    </row>
    <row r="196" spans="1:9" x14ac:dyDescent="0.25">
      <c r="A196" s="35" t="s">
        <v>185</v>
      </c>
      <c r="B196" s="88"/>
      <c r="C196" s="88"/>
      <c r="D196" s="88"/>
      <c r="E196" s="88"/>
      <c r="F196" s="88"/>
      <c r="G196" s="88">
        <f t="shared" si="31"/>
        <v>32000</v>
      </c>
      <c r="H196" s="88">
        <f t="shared" si="31"/>
        <v>32000</v>
      </c>
      <c r="I196" s="94">
        <f t="shared" si="31"/>
        <v>32000</v>
      </c>
    </row>
    <row r="197" spans="1:9" x14ac:dyDescent="0.25">
      <c r="A197" s="35" t="s">
        <v>186</v>
      </c>
      <c r="B197" s="88"/>
      <c r="C197" s="88"/>
      <c r="D197" s="88"/>
      <c r="E197" s="88"/>
      <c r="F197" s="88"/>
      <c r="G197" s="88">
        <f t="shared" si="31"/>
        <v>32000</v>
      </c>
      <c r="H197" s="88">
        <f t="shared" si="31"/>
        <v>32000</v>
      </c>
      <c r="I197" s="94">
        <f t="shared" si="31"/>
        <v>32000</v>
      </c>
    </row>
    <row r="198" spans="1:9" x14ac:dyDescent="0.25">
      <c r="A198" s="35" t="s">
        <v>187</v>
      </c>
      <c r="B198" s="88"/>
      <c r="C198" s="88"/>
      <c r="D198" s="88"/>
      <c r="E198" s="88"/>
      <c r="F198" s="88"/>
      <c r="G198" s="88">
        <f t="shared" si="31"/>
        <v>32000</v>
      </c>
      <c r="H198" s="88">
        <f t="shared" si="31"/>
        <v>32000</v>
      </c>
      <c r="I198" s="94">
        <f t="shared" si="31"/>
        <v>32000</v>
      </c>
    </row>
    <row r="199" spans="1:9" x14ac:dyDescent="0.25">
      <c r="A199" s="35" t="s">
        <v>188</v>
      </c>
      <c r="B199" s="88"/>
      <c r="C199" s="88"/>
      <c r="D199" s="88"/>
      <c r="E199" s="88"/>
      <c r="F199" s="88"/>
      <c r="G199" s="88">
        <f t="shared" si="31"/>
        <v>32000</v>
      </c>
      <c r="H199" s="88">
        <f t="shared" si="31"/>
        <v>32000</v>
      </c>
      <c r="I199" s="94">
        <f t="shared" si="31"/>
        <v>32000</v>
      </c>
    </row>
    <row r="200" spans="1:9" x14ac:dyDescent="0.25">
      <c r="A200" s="35" t="s">
        <v>189</v>
      </c>
      <c r="B200" s="88"/>
      <c r="C200" s="88"/>
      <c r="D200" s="88"/>
      <c r="E200" s="88"/>
      <c r="F200" s="88"/>
      <c r="G200" s="88">
        <f t="shared" si="31"/>
        <v>32000</v>
      </c>
      <c r="H200" s="88">
        <f t="shared" si="31"/>
        <v>32000</v>
      </c>
      <c r="I200" s="94">
        <f t="shared" si="31"/>
        <v>32000</v>
      </c>
    </row>
    <row r="201" spans="1:9" x14ac:dyDescent="0.25">
      <c r="A201" s="35" t="s">
        <v>54</v>
      </c>
      <c r="B201" s="88"/>
      <c r="C201" s="88"/>
      <c r="D201" s="88"/>
      <c r="E201" s="88"/>
      <c r="F201" s="88"/>
      <c r="G201" s="88">
        <f t="shared" si="31"/>
        <v>32000</v>
      </c>
      <c r="H201" s="88">
        <f t="shared" si="31"/>
        <v>32000</v>
      </c>
      <c r="I201" s="94">
        <f t="shared" si="31"/>
        <v>32000</v>
      </c>
    </row>
    <row r="202" spans="1:9" x14ac:dyDescent="0.25">
      <c r="A202" s="35" t="s">
        <v>190</v>
      </c>
      <c r="B202" s="88"/>
      <c r="C202" s="88"/>
      <c r="D202" s="88"/>
      <c r="E202" s="88"/>
      <c r="F202" s="88"/>
      <c r="G202" s="88">
        <f t="shared" si="31"/>
        <v>32000</v>
      </c>
      <c r="H202" s="88">
        <f t="shared" si="31"/>
        <v>32000</v>
      </c>
      <c r="I202" s="94">
        <f t="shared" si="31"/>
        <v>32000</v>
      </c>
    </row>
    <row r="203" spans="1:9" x14ac:dyDescent="0.25">
      <c r="A203" s="66" t="s">
        <v>191</v>
      </c>
      <c r="B203" s="88"/>
      <c r="C203" s="88"/>
      <c r="D203" s="88"/>
      <c r="E203" s="88"/>
      <c r="F203" s="88"/>
      <c r="G203" s="89">
        <v>35000</v>
      </c>
      <c r="H203" s="88">
        <f>+G203</f>
        <v>35000</v>
      </c>
      <c r="I203" s="94">
        <f>+G203</f>
        <v>35000</v>
      </c>
    </row>
    <row r="204" spans="1:9" x14ac:dyDescent="0.25">
      <c r="A204" s="35" t="s">
        <v>192</v>
      </c>
      <c r="B204" s="88"/>
      <c r="C204" s="88"/>
      <c r="D204" s="88"/>
      <c r="E204" s="88"/>
      <c r="F204" s="88"/>
      <c r="G204" s="88">
        <f t="shared" si="31"/>
        <v>32000</v>
      </c>
      <c r="H204" s="88">
        <f t="shared" si="31"/>
        <v>32000</v>
      </c>
      <c r="I204" s="94">
        <f t="shared" si="31"/>
        <v>32000</v>
      </c>
    </row>
    <row r="205" spans="1:9" x14ac:dyDescent="0.25">
      <c r="A205" s="35" t="s">
        <v>193</v>
      </c>
      <c r="B205" s="88"/>
      <c r="C205" s="88"/>
      <c r="D205" s="88"/>
      <c r="E205" s="88"/>
      <c r="F205" s="88"/>
      <c r="G205" s="88">
        <f t="shared" si="31"/>
        <v>32000</v>
      </c>
      <c r="H205" s="88">
        <f t="shared" si="31"/>
        <v>32000</v>
      </c>
      <c r="I205" s="94">
        <f t="shared" si="31"/>
        <v>32000</v>
      </c>
    </row>
    <row r="206" spans="1:9" x14ac:dyDescent="0.25">
      <c r="A206" s="35" t="s">
        <v>194</v>
      </c>
      <c r="B206" s="88"/>
      <c r="C206" s="88"/>
      <c r="D206" s="88"/>
      <c r="E206" s="88"/>
      <c r="F206" s="88"/>
      <c r="G206" s="88">
        <f t="shared" ref="G206:I207" si="32">$L$175</f>
        <v>32000</v>
      </c>
      <c r="H206" s="88">
        <f t="shared" si="32"/>
        <v>32000</v>
      </c>
      <c r="I206" s="94">
        <f t="shared" si="32"/>
        <v>32000</v>
      </c>
    </row>
    <row r="207" spans="1:9" x14ac:dyDescent="0.25">
      <c r="A207" s="9" t="s">
        <v>195</v>
      </c>
      <c r="B207" s="88"/>
      <c r="C207" s="88"/>
      <c r="D207" s="88"/>
      <c r="E207" s="88"/>
      <c r="F207" s="88"/>
      <c r="G207" s="88">
        <f t="shared" si="32"/>
        <v>32000</v>
      </c>
      <c r="H207" s="88">
        <f t="shared" si="32"/>
        <v>32000</v>
      </c>
      <c r="I207" s="94">
        <f t="shared" si="32"/>
        <v>32000</v>
      </c>
    </row>
    <row r="208" spans="1:9" x14ac:dyDescent="0.25">
      <c r="A208" s="9" t="s">
        <v>161</v>
      </c>
      <c r="B208" s="88"/>
      <c r="C208" s="88"/>
      <c r="D208" s="88"/>
      <c r="E208" s="88"/>
      <c r="F208" s="88"/>
      <c r="G208" s="88">
        <v>78000</v>
      </c>
      <c r="H208" s="88">
        <f t="shared" si="19"/>
        <v>78000</v>
      </c>
      <c r="I208" s="94">
        <f t="shared" si="19"/>
        <v>78000</v>
      </c>
    </row>
    <row r="209" spans="1:12" x14ac:dyDescent="0.25">
      <c r="A209" s="9" t="s">
        <v>163</v>
      </c>
      <c r="B209" s="88"/>
      <c r="C209" s="88"/>
      <c r="D209" s="88"/>
      <c r="E209" s="88"/>
      <c r="F209" s="88"/>
      <c r="G209" s="88">
        <v>60000</v>
      </c>
      <c r="H209" s="88">
        <f t="shared" si="19"/>
        <v>60000</v>
      </c>
      <c r="I209" s="94">
        <f t="shared" si="19"/>
        <v>60000</v>
      </c>
    </row>
    <row r="210" spans="1:12" x14ac:dyDescent="0.25">
      <c r="A210" s="66" t="s">
        <v>164</v>
      </c>
      <c r="B210" s="88"/>
      <c r="C210" s="88"/>
      <c r="D210" s="88"/>
      <c r="E210" s="88"/>
      <c r="F210" s="88"/>
      <c r="G210" s="89">
        <v>100000</v>
      </c>
      <c r="H210" s="88">
        <f t="shared" si="19"/>
        <v>100000</v>
      </c>
      <c r="I210" s="94">
        <f t="shared" si="19"/>
        <v>100000</v>
      </c>
    </row>
    <row r="211" spans="1:12" x14ac:dyDescent="0.25">
      <c r="A211" s="66" t="s">
        <v>165</v>
      </c>
      <c r="B211" s="88"/>
      <c r="C211" s="88"/>
      <c r="D211" s="88"/>
      <c r="E211" s="88"/>
      <c r="F211" s="88"/>
      <c r="G211" s="89">
        <v>75000</v>
      </c>
      <c r="H211" s="88">
        <f t="shared" si="19"/>
        <v>75000</v>
      </c>
      <c r="I211" s="94">
        <f t="shared" si="19"/>
        <v>75000</v>
      </c>
    </row>
    <row r="212" spans="1:12" x14ac:dyDescent="0.25">
      <c r="A212" s="9" t="s">
        <v>196</v>
      </c>
      <c r="B212" s="88"/>
      <c r="C212" s="88"/>
      <c r="D212" s="88"/>
      <c r="E212" s="88"/>
      <c r="F212" s="88"/>
      <c r="G212" s="88">
        <f>+$L$214</f>
        <v>106880</v>
      </c>
      <c r="H212" s="88">
        <f t="shared" ref="H212:I227" si="33">+$L$214</f>
        <v>106880</v>
      </c>
      <c r="I212" s="94">
        <f t="shared" si="33"/>
        <v>106880</v>
      </c>
    </row>
    <row r="213" spans="1:12" x14ac:dyDescent="0.25">
      <c r="A213" s="9" t="s">
        <v>197</v>
      </c>
      <c r="B213" s="88"/>
      <c r="C213" s="88"/>
      <c r="D213" s="88"/>
      <c r="E213" s="88"/>
      <c r="F213" s="88"/>
      <c r="G213" s="88">
        <f t="shared" ref="G213:I228" si="34">+$L$214</f>
        <v>106880</v>
      </c>
      <c r="H213" s="88">
        <f t="shared" si="33"/>
        <v>106880</v>
      </c>
      <c r="I213" s="94">
        <f t="shared" si="33"/>
        <v>106880</v>
      </c>
    </row>
    <row r="214" spans="1:12" x14ac:dyDescent="0.25">
      <c r="A214" s="9" t="s">
        <v>198</v>
      </c>
      <c r="B214" s="88"/>
      <c r="C214" s="88"/>
      <c r="D214" s="88"/>
      <c r="E214" s="88"/>
      <c r="F214" s="88"/>
      <c r="G214" s="88">
        <f t="shared" si="34"/>
        <v>106880</v>
      </c>
      <c r="H214" s="88">
        <f t="shared" si="33"/>
        <v>106880</v>
      </c>
      <c r="I214" s="94">
        <f t="shared" si="33"/>
        <v>106880</v>
      </c>
      <c r="K214" s="63" t="s">
        <v>213</v>
      </c>
      <c r="L214" s="69">
        <v>106880</v>
      </c>
    </row>
    <row r="215" spans="1:12" x14ac:dyDescent="0.25">
      <c r="A215" s="9" t="s">
        <v>199</v>
      </c>
      <c r="B215" s="88"/>
      <c r="C215" s="88"/>
      <c r="D215" s="88"/>
      <c r="E215" s="88"/>
      <c r="F215" s="88"/>
      <c r="G215" s="88">
        <f t="shared" si="34"/>
        <v>106880</v>
      </c>
      <c r="H215" s="88">
        <f t="shared" si="33"/>
        <v>106880</v>
      </c>
      <c r="I215" s="94">
        <f t="shared" si="33"/>
        <v>106880</v>
      </c>
    </row>
    <row r="216" spans="1:12" x14ac:dyDescent="0.25">
      <c r="A216" s="9" t="s">
        <v>200</v>
      </c>
      <c r="B216" s="88"/>
      <c r="C216" s="88"/>
      <c r="D216" s="88"/>
      <c r="E216" s="88"/>
      <c r="F216" s="88"/>
      <c r="G216" s="88">
        <f t="shared" si="34"/>
        <v>106880</v>
      </c>
      <c r="H216" s="88">
        <f t="shared" si="33"/>
        <v>106880</v>
      </c>
      <c r="I216" s="94">
        <f t="shared" si="33"/>
        <v>106880</v>
      </c>
    </row>
    <row r="217" spans="1:12" x14ac:dyDescent="0.25">
      <c r="A217" s="9" t="s">
        <v>212</v>
      </c>
      <c r="B217" s="88"/>
      <c r="C217" s="88"/>
      <c r="D217" s="88"/>
      <c r="E217" s="88"/>
      <c r="F217" s="88"/>
      <c r="G217" s="88">
        <f t="shared" si="34"/>
        <v>106880</v>
      </c>
      <c r="H217" s="88">
        <f t="shared" si="33"/>
        <v>106880</v>
      </c>
      <c r="I217" s="94">
        <f t="shared" si="33"/>
        <v>106880</v>
      </c>
    </row>
    <row r="218" spans="1:12" x14ac:dyDescent="0.25">
      <c r="A218" s="9" t="s">
        <v>201</v>
      </c>
      <c r="B218" s="88"/>
      <c r="C218" s="88"/>
      <c r="D218" s="88"/>
      <c r="E218" s="88"/>
      <c r="F218" s="88"/>
      <c r="G218" s="88">
        <f t="shared" si="34"/>
        <v>106880</v>
      </c>
      <c r="H218" s="88">
        <f t="shared" si="33"/>
        <v>106880</v>
      </c>
      <c r="I218" s="94">
        <f t="shared" si="33"/>
        <v>106880</v>
      </c>
    </row>
    <row r="219" spans="1:12" x14ac:dyDescent="0.25">
      <c r="A219" s="9" t="s">
        <v>202</v>
      </c>
      <c r="B219" s="88"/>
      <c r="C219" s="88"/>
      <c r="D219" s="88"/>
      <c r="E219" s="88"/>
      <c r="F219" s="88"/>
      <c r="G219" s="88">
        <f t="shared" si="34"/>
        <v>106880</v>
      </c>
      <c r="H219" s="88">
        <f t="shared" si="33"/>
        <v>106880</v>
      </c>
      <c r="I219" s="94">
        <f t="shared" si="33"/>
        <v>106880</v>
      </c>
    </row>
    <row r="220" spans="1:12" x14ac:dyDescent="0.25">
      <c r="A220" s="9" t="s">
        <v>203</v>
      </c>
      <c r="B220" s="88"/>
      <c r="C220" s="88"/>
      <c r="D220" s="88"/>
      <c r="E220" s="88"/>
      <c r="F220" s="88"/>
      <c r="G220" s="88">
        <f t="shared" si="34"/>
        <v>106880</v>
      </c>
      <c r="H220" s="88">
        <f t="shared" si="33"/>
        <v>106880</v>
      </c>
      <c r="I220" s="94">
        <f t="shared" si="33"/>
        <v>106880</v>
      </c>
    </row>
    <row r="221" spans="1:12" x14ac:dyDescent="0.25">
      <c r="A221" s="9" t="s">
        <v>204</v>
      </c>
      <c r="B221" s="88"/>
      <c r="C221" s="88"/>
      <c r="D221" s="88"/>
      <c r="E221" s="88"/>
      <c r="F221" s="88"/>
      <c r="G221" s="88">
        <f t="shared" si="34"/>
        <v>106880</v>
      </c>
      <c r="H221" s="88">
        <f t="shared" si="33"/>
        <v>106880</v>
      </c>
      <c r="I221" s="94">
        <f t="shared" si="33"/>
        <v>106880</v>
      </c>
    </row>
    <row r="222" spans="1:12" x14ac:dyDescent="0.25">
      <c r="A222" s="9" t="s">
        <v>205</v>
      </c>
      <c r="B222" s="88"/>
      <c r="C222" s="88"/>
      <c r="D222" s="88"/>
      <c r="E222" s="88"/>
      <c r="F222" s="88"/>
      <c r="G222" s="88">
        <f t="shared" si="34"/>
        <v>106880</v>
      </c>
      <c r="H222" s="88">
        <f t="shared" si="33"/>
        <v>106880</v>
      </c>
      <c r="I222" s="94">
        <f t="shared" si="33"/>
        <v>106880</v>
      </c>
    </row>
    <row r="223" spans="1:12" x14ac:dyDescent="0.25">
      <c r="A223" s="9" t="s">
        <v>206</v>
      </c>
      <c r="B223" s="88"/>
      <c r="C223" s="88"/>
      <c r="D223" s="88"/>
      <c r="E223" s="88"/>
      <c r="F223" s="88"/>
      <c r="G223" s="88">
        <f t="shared" si="34"/>
        <v>106880</v>
      </c>
      <c r="H223" s="88">
        <f t="shared" si="33"/>
        <v>106880</v>
      </c>
      <c r="I223" s="94">
        <f t="shared" si="33"/>
        <v>106880</v>
      </c>
    </row>
    <row r="224" spans="1:12" x14ac:dyDescent="0.25">
      <c r="A224" s="9" t="s">
        <v>207</v>
      </c>
      <c r="B224" s="88"/>
      <c r="C224" s="88"/>
      <c r="D224" s="88"/>
      <c r="E224" s="88"/>
      <c r="F224" s="88"/>
      <c r="G224" s="88">
        <f t="shared" si="34"/>
        <v>106880</v>
      </c>
      <c r="H224" s="88">
        <f t="shared" si="33"/>
        <v>106880</v>
      </c>
      <c r="I224" s="94">
        <f t="shared" si="33"/>
        <v>106880</v>
      </c>
    </row>
    <row r="225" spans="1:9" x14ac:dyDescent="0.25">
      <c r="A225" s="9" t="s">
        <v>208</v>
      </c>
      <c r="B225" s="88"/>
      <c r="C225" s="88"/>
      <c r="D225" s="88"/>
      <c r="E225" s="88"/>
      <c r="F225" s="88"/>
      <c r="G225" s="88">
        <f t="shared" si="34"/>
        <v>106880</v>
      </c>
      <c r="H225" s="88">
        <f t="shared" si="33"/>
        <v>106880</v>
      </c>
      <c r="I225" s="94">
        <f t="shared" si="33"/>
        <v>106880</v>
      </c>
    </row>
    <row r="226" spans="1:9" x14ac:dyDescent="0.25">
      <c r="A226" s="9" t="s">
        <v>209</v>
      </c>
      <c r="B226" s="88"/>
      <c r="C226" s="88"/>
      <c r="D226" s="88"/>
      <c r="E226" s="88"/>
      <c r="F226" s="88"/>
      <c r="G226" s="88">
        <f t="shared" si="34"/>
        <v>106880</v>
      </c>
      <c r="H226" s="88">
        <f t="shared" si="33"/>
        <v>106880</v>
      </c>
      <c r="I226" s="94">
        <f t="shared" si="33"/>
        <v>106880</v>
      </c>
    </row>
    <row r="227" spans="1:9" x14ac:dyDescent="0.25">
      <c r="A227" s="9" t="s">
        <v>210</v>
      </c>
      <c r="B227" s="88"/>
      <c r="C227" s="88"/>
      <c r="D227" s="88"/>
      <c r="E227" s="88"/>
      <c r="F227" s="88"/>
      <c r="G227" s="88">
        <f t="shared" si="34"/>
        <v>106880</v>
      </c>
      <c r="H227" s="88">
        <f t="shared" si="33"/>
        <v>106880</v>
      </c>
      <c r="I227" s="94">
        <f t="shared" si="33"/>
        <v>106880</v>
      </c>
    </row>
    <row r="228" spans="1:9" ht="15.75" thickBot="1" x14ac:dyDescent="0.3">
      <c r="A228" s="107" t="s">
        <v>211</v>
      </c>
      <c r="B228" s="108"/>
      <c r="C228" s="108"/>
      <c r="D228" s="108"/>
      <c r="E228" s="108"/>
      <c r="F228" s="108"/>
      <c r="G228" s="108">
        <f t="shared" si="34"/>
        <v>106880</v>
      </c>
      <c r="H228" s="108">
        <f t="shared" si="34"/>
        <v>106880</v>
      </c>
      <c r="I228" s="109">
        <f t="shared" si="34"/>
        <v>106880</v>
      </c>
    </row>
    <row r="229" spans="1:9" ht="16.5" thickBot="1" x14ac:dyDescent="0.3">
      <c r="A229" s="90" t="s">
        <v>6</v>
      </c>
      <c r="B229" s="124"/>
      <c r="C229" s="125"/>
      <c r="D229" s="125"/>
      <c r="E229" s="98"/>
      <c r="F229" s="98"/>
      <c r="G229" s="98" t="s">
        <v>99</v>
      </c>
      <c r="H229" s="99" t="s">
        <v>100</v>
      </c>
      <c r="I229" s="99" t="s">
        <v>130</v>
      </c>
    </row>
    <row r="230" spans="1:9" ht="15.75" thickBot="1" x14ac:dyDescent="0.3">
      <c r="A230" s="22" t="s">
        <v>38</v>
      </c>
      <c r="B230" s="111"/>
      <c r="C230" s="111"/>
      <c r="D230" s="111"/>
      <c r="E230" s="111"/>
      <c r="F230" s="111"/>
      <c r="G230" s="110">
        <v>40000</v>
      </c>
      <c r="H230" s="111">
        <f>+G230</f>
        <v>40000</v>
      </c>
      <c r="I230" s="112">
        <f>+G230</f>
        <v>40000</v>
      </c>
    </row>
    <row r="231" spans="1:9" ht="16.5" thickBot="1" x14ac:dyDescent="0.3">
      <c r="A231" s="90" t="s">
        <v>215</v>
      </c>
      <c r="B231" s="124"/>
      <c r="C231" s="98"/>
      <c r="D231" s="98"/>
      <c r="E231" s="98"/>
      <c r="F231" s="98" t="s">
        <v>98</v>
      </c>
      <c r="G231" s="98" t="s">
        <v>99</v>
      </c>
      <c r="H231" s="98" t="s">
        <v>100</v>
      </c>
      <c r="I231" s="99" t="s">
        <v>130</v>
      </c>
    </row>
    <row r="232" spans="1:9" ht="15.75" x14ac:dyDescent="0.25">
      <c r="A232" s="23" t="s">
        <v>141</v>
      </c>
      <c r="B232" s="87"/>
      <c r="C232" s="87"/>
      <c r="D232" s="87"/>
      <c r="E232" s="87"/>
      <c r="F232" s="105">
        <v>15000</v>
      </c>
      <c r="G232" s="105">
        <v>15000</v>
      </c>
      <c r="H232" s="87">
        <f>+$G$232</f>
        <v>15000</v>
      </c>
      <c r="I232" s="106">
        <f>+$G$232</f>
        <v>15000</v>
      </c>
    </row>
    <row r="233" spans="1:9" ht="15.75" x14ac:dyDescent="0.25">
      <c r="A233" s="23" t="s">
        <v>142</v>
      </c>
      <c r="B233" s="85"/>
      <c r="C233" s="85"/>
      <c r="D233" s="85"/>
      <c r="E233" s="85"/>
      <c r="F233" s="86">
        <v>18000</v>
      </c>
      <c r="G233" s="86">
        <v>15000</v>
      </c>
      <c r="H233" s="85">
        <f>+G233</f>
        <v>15000</v>
      </c>
      <c r="I233" s="101">
        <f>+G233</f>
        <v>15000</v>
      </c>
    </row>
    <row r="234" spans="1:9" ht="15.75" x14ac:dyDescent="0.25">
      <c r="A234" s="23" t="s">
        <v>143</v>
      </c>
      <c r="B234" s="85"/>
      <c r="C234" s="85"/>
      <c r="D234" s="85"/>
      <c r="E234" s="85"/>
      <c r="F234" s="86">
        <v>18000</v>
      </c>
      <c r="G234" s="86">
        <v>15000</v>
      </c>
      <c r="H234" s="85">
        <f>+G234</f>
        <v>15000</v>
      </c>
      <c r="I234" s="101">
        <f>+G234</f>
        <v>15000</v>
      </c>
    </row>
    <row r="235" spans="1:9" ht="15.75" x14ac:dyDescent="0.25">
      <c r="A235" s="23" t="s">
        <v>214</v>
      </c>
      <c r="B235" s="85"/>
      <c r="C235" s="85"/>
      <c r="D235" s="85"/>
      <c r="E235" s="85"/>
      <c r="F235" s="85"/>
      <c r="G235" s="86">
        <v>20000</v>
      </c>
      <c r="H235" s="85">
        <f>+G235</f>
        <v>20000</v>
      </c>
      <c r="I235" s="101">
        <f>+G235</f>
        <v>20000</v>
      </c>
    </row>
    <row r="236" spans="1:9" ht="16.5" thickBot="1" x14ac:dyDescent="0.3">
      <c r="A236" s="22" t="s">
        <v>144</v>
      </c>
      <c r="B236" s="103"/>
      <c r="C236" s="103"/>
      <c r="D236" s="103"/>
      <c r="E236" s="103"/>
      <c r="F236" s="103"/>
      <c r="G236" s="102">
        <v>20000</v>
      </c>
      <c r="H236" s="103">
        <f>+G236</f>
        <v>20000</v>
      </c>
      <c r="I236" s="104">
        <f>+G236</f>
        <v>20000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2026-09-03T11:18:54Z</dcterms:modified>
</cp:coreProperties>
</file>
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ortal-Operativo-INTEGRA\RAMA PRUEBA\"/>
    </mc:Choice>
  </mc:AlternateContent>
  <bookViews>
    <workbookView xWindow="0" yWindow="0" windowWidth="20490" windowHeight="7530"/>
  </bookViews>
  <sheets>
    <sheet name="JUNIO 2026" sheetId="1" r:id="rId1"/>
  </sheets>
  <definedNames>
    <definedName name="_xlnm.Print_Area" localSheetId="0">'JUNIO 2026'!$A$48:$I$55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6" i="1" l="1"/>
  <c r="H256" i="1"/>
  <c r="I257" i="1"/>
  <c r="H257" i="1"/>
  <c r="F4" i="1" l="1"/>
  <c r="I3" i="1" l="1"/>
  <c r="I162" i="1" l="1"/>
  <c r="H162" i="1"/>
  <c r="I151" i="1"/>
  <c r="H151" i="1"/>
  <c r="I160" i="1"/>
  <c r="H160" i="1"/>
  <c r="H152" i="1"/>
  <c r="I152" i="1"/>
  <c r="I154" i="1"/>
  <c r="H154" i="1"/>
  <c r="I150" i="1"/>
  <c r="H150" i="1"/>
  <c r="H153" i="1"/>
  <c r="I153" i="1"/>
  <c r="G152" i="1"/>
  <c r="G151" i="1"/>
  <c r="I156" i="1"/>
  <c r="H156" i="1"/>
  <c r="I166" i="1"/>
  <c r="H166" i="1"/>
  <c r="G166" i="1"/>
  <c r="I158" i="1"/>
  <c r="H158" i="1"/>
  <c r="I169" i="1"/>
  <c r="I133" i="1"/>
  <c r="H133" i="1"/>
  <c r="I135" i="1"/>
  <c r="H135" i="1"/>
  <c r="I134" i="1"/>
  <c r="H134" i="1"/>
  <c r="G162" i="1"/>
  <c r="G153" i="1"/>
  <c r="I254" i="1" l="1"/>
  <c r="H254" i="1"/>
  <c r="I253" i="1"/>
  <c r="I252" i="1"/>
  <c r="H252" i="1"/>
  <c r="I251" i="1"/>
  <c r="H251" i="1"/>
  <c r="H253" i="1"/>
  <c r="I250" i="1"/>
  <c r="H250" i="1"/>
  <c r="I248" i="1"/>
  <c r="H248" i="1"/>
  <c r="G231" i="1" l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H230" i="1"/>
  <c r="I230" i="1"/>
  <c r="G230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H185" i="1" s="1"/>
  <c r="H186" i="1" s="1"/>
  <c r="I184" i="1"/>
  <c r="H172" i="1"/>
  <c r="I172" i="1"/>
  <c r="G172" i="1"/>
  <c r="G223" i="1"/>
  <c r="H223" i="1"/>
  <c r="I223" i="1"/>
  <c r="G224" i="1"/>
  <c r="H224" i="1"/>
  <c r="I224" i="1"/>
  <c r="G225" i="1"/>
  <c r="H225" i="1"/>
  <c r="I225" i="1"/>
  <c r="I222" i="1"/>
  <c r="H222" i="1"/>
  <c r="G222" i="1"/>
  <c r="G207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G206" i="1"/>
  <c r="G208" i="1"/>
  <c r="G209" i="1"/>
  <c r="G210" i="1"/>
  <c r="G211" i="1"/>
  <c r="G205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G203" i="1"/>
  <c r="G201" i="1"/>
  <c r="G199" i="1"/>
  <c r="G197" i="1"/>
  <c r="G195" i="1"/>
  <c r="G193" i="1"/>
  <c r="G191" i="1"/>
  <c r="G190" i="1"/>
  <c r="G194" i="1"/>
  <c r="G196" i="1"/>
  <c r="G198" i="1"/>
  <c r="G200" i="1"/>
  <c r="G202" i="1"/>
  <c r="G192" i="1"/>
  <c r="I188" i="1"/>
  <c r="I204" i="1"/>
  <c r="I221" i="1"/>
  <c r="H221" i="1"/>
  <c r="H226" i="1"/>
  <c r="I226" i="1" s="1"/>
  <c r="H204" i="1"/>
  <c r="I173" i="1"/>
  <c r="H173" i="1"/>
  <c r="H229" i="1"/>
  <c r="I229" i="1" s="1"/>
  <c r="H228" i="1"/>
  <c r="I228" i="1" s="1"/>
  <c r="H227" i="1"/>
  <c r="I227" i="1" s="1"/>
  <c r="H189" i="1"/>
  <c r="I189" i="1" s="1"/>
  <c r="H188" i="1"/>
  <c r="G7" i="1"/>
  <c r="F7" i="1"/>
  <c r="I4" i="1"/>
  <c r="G16" i="1" l="1"/>
  <c r="G17" i="1"/>
  <c r="F17" i="1" l="1"/>
  <c r="F16" i="1"/>
  <c r="G106" i="1" l="1"/>
  <c r="G107" i="1"/>
  <c r="G108" i="1"/>
  <c r="G109" i="1"/>
  <c r="G111" i="1"/>
  <c r="G112" i="1"/>
  <c r="G113" i="1"/>
  <c r="G115" i="1"/>
  <c r="G116" i="1"/>
  <c r="G118" i="1"/>
  <c r="G119" i="1"/>
  <c r="G120" i="1"/>
  <c r="G121" i="1"/>
  <c r="G123" i="1"/>
  <c r="G124" i="1"/>
  <c r="G125" i="1"/>
  <c r="G126" i="1"/>
  <c r="G128" i="1"/>
  <c r="G129" i="1"/>
  <c r="G130" i="1"/>
  <c r="G105" i="1"/>
  <c r="F106" i="1"/>
  <c r="F107" i="1"/>
  <c r="F108" i="1"/>
  <c r="F109" i="1"/>
  <c r="F111" i="1"/>
  <c r="F112" i="1"/>
  <c r="F113" i="1"/>
  <c r="F115" i="1"/>
  <c r="F116" i="1"/>
  <c r="F118" i="1"/>
  <c r="F119" i="1"/>
  <c r="F120" i="1"/>
  <c r="F121" i="1"/>
  <c r="F123" i="1"/>
  <c r="F124" i="1"/>
  <c r="F125" i="1"/>
  <c r="F126" i="1"/>
  <c r="F128" i="1"/>
  <c r="F129" i="1"/>
  <c r="F130" i="1"/>
  <c r="F105" i="1"/>
  <c r="G102" i="1"/>
  <c r="G101" i="1"/>
  <c r="F102" i="1"/>
  <c r="F101" i="1"/>
  <c r="B98" i="1"/>
  <c r="H98" i="1" s="1"/>
  <c r="B99" i="1"/>
  <c r="H99" i="1" s="1"/>
  <c r="B97" i="1"/>
  <c r="H97" i="1" s="1"/>
  <c r="G88" i="1" l="1"/>
  <c r="G87" i="1"/>
  <c r="G89" i="1"/>
  <c r="G90" i="1"/>
  <c r="G91" i="1"/>
  <c r="G93" i="1"/>
  <c r="G94" i="1"/>
  <c r="G95" i="1"/>
  <c r="G97" i="1"/>
  <c r="G98" i="1"/>
  <c r="G99" i="1"/>
  <c r="F87" i="1"/>
  <c r="F88" i="1"/>
  <c r="F89" i="1"/>
  <c r="F90" i="1"/>
  <c r="F91" i="1"/>
  <c r="F93" i="1"/>
  <c r="F94" i="1"/>
  <c r="F95" i="1"/>
  <c r="F97" i="1"/>
  <c r="F98" i="1"/>
  <c r="F99" i="1"/>
  <c r="G72" i="1"/>
  <c r="G74" i="1"/>
  <c r="G75" i="1"/>
  <c r="G77" i="1"/>
  <c r="G78" i="1"/>
  <c r="G80" i="1"/>
  <c r="G81" i="1"/>
  <c r="G82" i="1"/>
  <c r="G83" i="1"/>
  <c r="F74" i="1"/>
  <c r="F75" i="1"/>
  <c r="F77" i="1"/>
  <c r="F78" i="1"/>
  <c r="F80" i="1"/>
  <c r="F81" i="1"/>
  <c r="F82" i="1"/>
  <c r="F83" i="1"/>
  <c r="F72" i="1"/>
  <c r="F71" i="1"/>
  <c r="G71" i="1"/>
  <c r="G69" i="1"/>
  <c r="F69" i="1"/>
  <c r="F68" i="1"/>
  <c r="G68" i="1"/>
  <c r="G62" i="1"/>
  <c r="G63" i="1"/>
  <c r="G64" i="1"/>
  <c r="G65" i="1"/>
  <c r="G61" i="1"/>
  <c r="F62" i="1"/>
  <c r="F63" i="1"/>
  <c r="F64" i="1"/>
  <c r="F65" i="1"/>
  <c r="F61" i="1"/>
  <c r="F59" i="1"/>
  <c r="G59" i="1"/>
  <c r="G50" i="1"/>
  <c r="G51" i="1"/>
  <c r="G52" i="1"/>
  <c r="G53" i="1"/>
  <c r="G54" i="1"/>
  <c r="G55" i="1"/>
  <c r="F50" i="1"/>
  <c r="F51" i="1"/>
  <c r="F52" i="1"/>
  <c r="F53" i="1"/>
  <c r="F54" i="1"/>
  <c r="F55" i="1"/>
  <c r="G49" i="1"/>
  <c r="F49" i="1"/>
  <c r="G45" i="1"/>
  <c r="G46" i="1"/>
  <c r="G47" i="1"/>
  <c r="G44" i="1"/>
  <c r="F45" i="1"/>
  <c r="F46" i="1"/>
  <c r="F47" i="1"/>
  <c r="F44" i="1"/>
  <c r="F42" i="1"/>
  <c r="F40" i="1"/>
  <c r="F38" i="1"/>
  <c r="F36" i="1"/>
  <c r="F34" i="1"/>
  <c r="F32" i="1"/>
  <c r="F30" i="1"/>
  <c r="F28" i="1"/>
  <c r="F26" i="1" l="1"/>
  <c r="G42" i="1" l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40" i="1"/>
  <c r="G38" i="1"/>
  <c r="G36" i="1"/>
  <c r="G34" i="1"/>
  <c r="G32" i="1"/>
  <c r="G30" i="1"/>
  <c r="G28" i="1"/>
  <c r="G26" i="1"/>
  <c r="G20" i="1"/>
  <c r="G10" i="1"/>
</calcChain>
</file>

<file path=xl/comments1.xml><?xml version="1.0" encoding="utf-8"?>
<comments xmlns="http://schemas.openxmlformats.org/spreadsheetml/2006/main">
  <authors>
    <author>Administracion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de cuota de Coseguro+sepelio+$1000 por cremacion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de cuota mutual+sepelio+$1000 cremacion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$30000 que cuesta en promedio la consulta, + el  electro + el inform - los $18000 de consulta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promedio de las consultas particulares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promedio de consultas particulares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balor del bono a opcionales OSECAC, teniendo en cuenta que pagamos la hora a $13000 / 8 = 1625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balor del bono a opcionales OSECAC, teniendo en cuenta que pagamos la hora a $13000 / 8 = 1625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promedio de sesiones particulares, hoy pagamos $8000 la sesion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que cobramos a Opcionales sin SEC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promedio que cobran los Psicologos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No socio, hoy pagamos $15900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le pagamos al profecional el valor Coseguro $137000 a un 40% menos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Socio, hoy pagamos al profecional $30150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3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NO VIGENTE
</t>
        </r>
      </text>
    </comment>
    <comment ref="B4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Socio, hoy pagamos al profecional $30150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$8000 la hora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Administracion:
</t>
        </r>
        <r>
          <rPr>
            <sz val="9"/>
            <color indexed="81"/>
            <rFont val="Tahoma"/>
            <family val="2"/>
          </rPr>
          <t>Valor particular. Pagamos $6400 el corte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particular. Pagamos $13000 la hora</t>
        </r>
      </text>
    </comment>
    <comment ref="B6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7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General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 xml:space="preserve">Administrac
</t>
        </r>
        <r>
          <rPr>
            <sz val="9"/>
            <color indexed="81"/>
            <rFont val="Tahoma"/>
            <family val="2"/>
          </rPr>
          <t>valor  General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General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General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gastos de limpieza $ 64000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8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valor  No Socio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SEC es el 40%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SEC es el 40%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actual es el Integra 180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no tiene tarifa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actual es el Integra 180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 que el valor actual es el Integra 180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valor No Socio</t>
        </r>
      </text>
    </comment>
    <comment ref="B13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Capponi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0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2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4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Sale del vlor OSECAC que es lo acordado con la profecional Calra Cappon</t>
        </r>
      </text>
    </comment>
    <comment ref="A249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5" authorId="0" shapeId="0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<sst xmlns="http://schemas.openxmlformats.org/spreadsheetml/2006/main" count="456" uniqueCount="235">
  <si>
    <t>CONVENIOS</t>
  </si>
  <si>
    <r>
      <t>CAVITADOR (</t>
    </r>
    <r>
      <rPr>
        <b/>
        <sz val="8"/>
        <rFont val="Arial"/>
        <family val="2"/>
      </rPr>
      <t>METODO DE LIMPIEZA</t>
    </r>
    <r>
      <rPr>
        <b/>
        <sz val="10"/>
        <rFont val="Arial"/>
        <family val="2"/>
      </rPr>
      <t>)</t>
    </r>
  </si>
  <si>
    <t>ENFERMERIA</t>
  </si>
  <si>
    <t xml:space="preserve">COSMETOLOGIA </t>
  </si>
  <si>
    <t>COMED</t>
  </si>
  <si>
    <t>PANORAMICA</t>
  </si>
  <si>
    <t>PETRAGLIA</t>
  </si>
  <si>
    <t>SALONES</t>
  </si>
  <si>
    <t>QUINCHO CERRADO 1 Y 2</t>
  </si>
  <si>
    <t>AUDITORIO</t>
  </si>
  <si>
    <t xml:space="preserve">4 HS. </t>
  </si>
  <si>
    <t>8 HS.</t>
  </si>
  <si>
    <t>HONORARIOS RUBEN</t>
  </si>
  <si>
    <t>BONOS DE CONSULTA KINESIOLOGIA</t>
  </si>
  <si>
    <t>DIRECTO SEC X 5 SESIONES</t>
  </si>
  <si>
    <t>DIRECTO SEC X 10 SESIONES</t>
  </si>
  <si>
    <t>BONOS DE CONSULTA PSIQUIATRIA</t>
  </si>
  <si>
    <t>OBSTURACION CON AMALGAMA</t>
  </si>
  <si>
    <t>OBSTURACION CON IONOMERO VITRIO</t>
  </si>
  <si>
    <t>OBSTURACION LAMPARA</t>
  </si>
  <si>
    <t>BONOS DE CONSULTA FONOAUDIOLOGIA</t>
  </si>
  <si>
    <t>DRENAJE MEDIO CUERPO</t>
  </si>
  <si>
    <t>DRENAJE CUERPO ENTERO</t>
  </si>
  <si>
    <t>MASAJE FACIAL/CORPORAL</t>
  </si>
  <si>
    <t>MASOTERAPIA</t>
  </si>
  <si>
    <t>REFLEXOLOGIA</t>
  </si>
  <si>
    <t>ESCUELA DE MUSICA</t>
  </si>
  <si>
    <t xml:space="preserve">BONOS DE CONSULTA PSICOLOGIA </t>
  </si>
  <si>
    <t>PODOLOGIA</t>
  </si>
  <si>
    <t>TARIFAS DIARIAS POR CABAÑA</t>
  </si>
  <si>
    <t>LAGUNA</t>
  </si>
  <si>
    <t>2 PERSONAS</t>
  </si>
  <si>
    <t>4 PERSONAS</t>
  </si>
  <si>
    <t>ARROLLO DE LOS PATOS</t>
  </si>
  <si>
    <t>Bs AS</t>
  </si>
  <si>
    <t>RIVIERA</t>
  </si>
  <si>
    <t>USPALLATA</t>
  </si>
  <si>
    <t>GASTOS DE RESERVA Y ADMINISTRATIVOS/ DIARIOS</t>
  </si>
  <si>
    <t>P.A.P.</t>
  </si>
  <si>
    <t>SELLADOR</t>
  </si>
  <si>
    <t>VALOR UNICO x Día</t>
  </si>
  <si>
    <t>ELECTROCARDIOGRAMA</t>
  </si>
  <si>
    <t>AMMEN / CONVENIO NUTRICION</t>
  </si>
  <si>
    <t>CONDUCTOS ODONTOLOGICOS</t>
  </si>
  <si>
    <t>CUOTA MENSUAL</t>
  </si>
  <si>
    <t>MATRICULA ANUAL</t>
  </si>
  <si>
    <t>SEPELIO</t>
  </si>
  <si>
    <t>ECODOPLER FETAL</t>
  </si>
  <si>
    <t>ECODOPLER OBSTETRICO</t>
  </si>
  <si>
    <t>ECODOPLER TIROIDES</t>
  </si>
  <si>
    <t>ECODOPLER MAMARIO</t>
  </si>
  <si>
    <r>
      <t xml:space="preserve">ECOGRAFIA GINECOLOGICA </t>
    </r>
    <r>
      <rPr>
        <b/>
        <sz val="11"/>
        <color theme="1"/>
        <rFont val="Calibri"/>
        <family val="2"/>
        <scheme val="minor"/>
      </rPr>
      <t>con o sin trasductor vainal</t>
    </r>
  </si>
  <si>
    <t>ECOGRAFIA MAMARIA</t>
  </si>
  <si>
    <t>ECOGRAFIA PAROTIDEA UNI O BILATERAL</t>
  </si>
  <si>
    <t>ECOGRAFIA PARTES BLANDAS</t>
  </si>
  <si>
    <t>ECOGRAFIA COMPLETA DE ABDOMEN</t>
  </si>
  <si>
    <t>ECOGRAFIA RENAL BILATERAL</t>
  </si>
  <si>
    <t>ECOGRAFIA DE EVESICULA SEMINALES</t>
  </si>
  <si>
    <t>ECOGRAFIA DE VEGIGA O PROSTATA con o sin trasductor renal</t>
  </si>
  <si>
    <t>ECOGRAFIA PANCREAATICA O SUPRARENAL</t>
  </si>
  <si>
    <t>ECOGRAFIA HEPATICA, BILIAR, ESPLENICA O TORACICA</t>
  </si>
  <si>
    <t>ECOGRAFIA CADERA</t>
  </si>
  <si>
    <t>ECOGRAFIA FETAL - TRANSLUCENCIA NUCAL</t>
  </si>
  <si>
    <t>SCAN FETAL - ECO MORFOLOGIA FETAL</t>
  </si>
  <si>
    <t>ECOGRAFIA OBSTETRICA</t>
  </si>
  <si>
    <t>ECOGRAFIAS 4D</t>
  </si>
  <si>
    <t>ECOGRAFIA TRASVAGINAL</t>
  </si>
  <si>
    <t>EXTRACCIONES</t>
  </si>
  <si>
    <t>ECOGRAFIA PIEL</t>
  </si>
  <si>
    <t>MECANICOS DENTALES</t>
  </si>
  <si>
    <t>REPARACION SIMPLE</t>
  </si>
  <si>
    <t>REPARACION C/REF.</t>
  </si>
  <si>
    <t>AGREGAR 1 PIEZA O RETENEDOR</t>
  </si>
  <si>
    <t>SUBSIGUIENTE</t>
  </si>
  <si>
    <t>REPARACION</t>
  </si>
  <si>
    <t>REBASADO</t>
  </si>
  <si>
    <t>PLACAS</t>
  </si>
  <si>
    <t>MIORELAJANTE</t>
  </si>
  <si>
    <t>MIORELAJANTE C/ PLANI LISO</t>
  </si>
  <si>
    <t>CROMO</t>
  </si>
  <si>
    <t>COBALTO ARMAZON</t>
  </si>
  <si>
    <t>4 DIENTES HASTA TERMINACION</t>
  </si>
  <si>
    <t>8 DIENTES HASTA TERMINACION</t>
  </si>
  <si>
    <t>12 DIENTES HASTA TERMINACION</t>
  </si>
  <si>
    <t>FIJAS</t>
  </si>
  <si>
    <t>PERNO</t>
  </si>
  <si>
    <t>CAQUETE</t>
  </si>
  <si>
    <t>CORONA CERAMICA BIZCOCHADO</t>
  </si>
  <si>
    <t>CORONA PROVISORIA ACRILICA</t>
  </si>
  <si>
    <t>FLEX 2 A 6 DIENTES</t>
  </si>
  <si>
    <t>FLEX 7 A 14 DIENTES</t>
  </si>
  <si>
    <t>DUPLICACI DE MODULO</t>
  </si>
  <si>
    <t>PROTESIS FLEXIBLES</t>
  </si>
  <si>
    <t xml:space="preserve">CIRUGIAS ODONTOLOGICAS </t>
  </si>
  <si>
    <t>In 180</t>
  </si>
  <si>
    <t>In 360</t>
  </si>
  <si>
    <t>Afiliado SEC</t>
  </si>
  <si>
    <t>Consultas / practicas</t>
  </si>
  <si>
    <t xml:space="preserve">BONO SOLIDARIO </t>
  </si>
  <si>
    <t>Valor por sesion</t>
  </si>
  <si>
    <t>Valor por consulta</t>
  </si>
  <si>
    <t xml:space="preserve">ODONTOLOGICAS </t>
  </si>
  <si>
    <t>Valor por Cirugia</t>
  </si>
  <si>
    <t>Valor por tratamiento</t>
  </si>
  <si>
    <t>Valor por practica</t>
  </si>
  <si>
    <t xml:space="preserve">TENSION ARTERIAL </t>
  </si>
  <si>
    <t xml:space="preserve">GLUCEMIA </t>
  </si>
  <si>
    <t xml:space="preserve">INYECTABLE </t>
  </si>
  <si>
    <t>NEBULIZACIONES</t>
  </si>
  <si>
    <t>DEP. 1/2 PIERNA</t>
  </si>
  <si>
    <t xml:space="preserve">DEP. AXILAS </t>
  </si>
  <si>
    <t>DEP. ROSTRO-CEJAS Y BOZO</t>
  </si>
  <si>
    <t>CAVADO Y TIRA DE COLA</t>
  </si>
  <si>
    <t xml:space="preserve">PELVIS COMPLETA </t>
  </si>
  <si>
    <t>LIMP. CUTIS</t>
  </si>
  <si>
    <t>PODOLOGIA SESION</t>
  </si>
  <si>
    <t xml:space="preserve">PELUQUERIA </t>
  </si>
  <si>
    <t>CORTE</t>
  </si>
  <si>
    <t xml:space="preserve">MASAJES </t>
  </si>
  <si>
    <t>Valor por Turno</t>
  </si>
  <si>
    <t>Valor por turno</t>
  </si>
  <si>
    <t>VALOR FIN DE SEMANA</t>
  </si>
  <si>
    <t>VALOR 6 DIAS</t>
  </si>
  <si>
    <t>COME BEAN</t>
  </si>
  <si>
    <t>Asistencial</t>
  </si>
  <si>
    <t>$20 anual</t>
  </si>
  <si>
    <t xml:space="preserve">Cuota FLIAR POR INTEGRANTES </t>
  </si>
  <si>
    <t xml:space="preserve"> CADA SESION</t>
  </si>
  <si>
    <t>In 90</t>
  </si>
  <si>
    <t>ECOGRAFIAS</t>
  </si>
  <si>
    <t>TRASLUCENCIA NUCAL</t>
  </si>
  <si>
    <t xml:space="preserve">ECODOPPLER  </t>
  </si>
  <si>
    <t>CONSULTA MEDICA A</t>
  </si>
  <si>
    <t>CONSULTA MEDICA B</t>
  </si>
  <si>
    <t>CONSULTA MEDICA C</t>
  </si>
  <si>
    <t>ADMISION</t>
  </si>
  <si>
    <t>PISCOLOGIA</t>
  </si>
  <si>
    <t>PISCOPEDAGOGIA</t>
  </si>
  <si>
    <t>TERAPIA OCUPACIONAL</t>
  </si>
  <si>
    <t>PROTESIS ACRILICO</t>
  </si>
  <si>
    <t>PROTESIS HASTA 4 DIENTES</t>
  </si>
  <si>
    <t>PROTESIS HASTA 8 DIENTES</t>
  </si>
  <si>
    <t>PROTESIS HASTA 12 DIENTES</t>
  </si>
  <si>
    <t>VALOR PACK 3 DIAS SEMANA</t>
  </si>
  <si>
    <t>VALOR LIMPIEZA</t>
  </si>
  <si>
    <t>DEPOSITO ( se devuelve a las 48 hs)</t>
  </si>
  <si>
    <t xml:space="preserve">DEPOSITO </t>
  </si>
  <si>
    <t>DEPOSITO</t>
  </si>
  <si>
    <t>PIERNA ENTERA</t>
  </si>
  <si>
    <t>In 90 (osecac)</t>
  </si>
  <si>
    <t>SALON PARA INSTITUCIONES</t>
  </si>
  <si>
    <t>In 90 (OSECAC)</t>
  </si>
  <si>
    <t xml:space="preserve">Cuota TITULAR </t>
  </si>
  <si>
    <t>RX SUBSIGUIENTE</t>
  </si>
  <si>
    <t>RX PRIMERA EXPOSICION</t>
  </si>
  <si>
    <t>MAMO BILATERAL + PROYECCION AXILAR</t>
  </si>
  <si>
    <t>ESPINOGRAMA FRENTE</t>
  </si>
  <si>
    <t>DENSITOMETRIA 2 REGIONES</t>
  </si>
  <si>
    <t>ECODDOPPLER COLOR TODAS LAS REGIONES</t>
  </si>
  <si>
    <t>SCAN FETAL</t>
  </si>
  <si>
    <t>MAMOGRAFIA CONVENCIONAL</t>
  </si>
  <si>
    <t>RX CONVENCIONAL (POR C/CODIGO)</t>
  </si>
  <si>
    <t>Ecografias Dra. Capponi</t>
  </si>
  <si>
    <t>VESICAL (VEJIGA) C/MEDICION DE RESIDUO POSTMICCIONAL</t>
  </si>
  <si>
    <t>CMD (FAMYL)</t>
  </si>
  <si>
    <t>RX CRANEO, CARA, SENOS PARANASALES</t>
  </si>
  <si>
    <t>RX RAQUIS - COLUMNA</t>
  </si>
  <si>
    <t>RX HOMBRO, HUMERO, PELVIS, CADERA</t>
  </si>
  <si>
    <t>RX CODO, ANTEBRAZO, MUÑECA, TOBILLO, PIE</t>
  </si>
  <si>
    <t>RX TORAX</t>
  </si>
  <si>
    <t>RX SIMPLE DE ABDOMEN</t>
  </si>
  <si>
    <t>RX SIMPLE DE ARBOL URINARIO</t>
  </si>
  <si>
    <t>ECOGRAFIA TOCOGINECOLOGICA</t>
  </si>
  <si>
    <t>ECOGRAFIA MAMARIA UNI O BILATERAL</t>
  </si>
  <si>
    <t>ECOGRAFIA CEREBRAL</t>
  </si>
  <si>
    <t>ECOGRAFIA TIORIDEA</t>
  </si>
  <si>
    <t>ECOGRAFIA TESTICULAR</t>
  </si>
  <si>
    <t>ECOGRAFIA DE AORTA ABDOMINAL DINAM. Y ESTAT.</t>
  </si>
  <si>
    <t>ECOGRAFIA PANCREATICA O SUPRARRENAL</t>
  </si>
  <si>
    <t>ECOGRAFIA PARA LA AMNIOCENTESIS</t>
  </si>
  <si>
    <t>ECOGRAFIA HEPATOBILIAR</t>
  </si>
  <si>
    <t>ECOGRAFIA DE PANCREAS</t>
  </si>
  <si>
    <t>ECOGRAFIA MUSCULO ESQUELETICO</t>
  </si>
  <si>
    <t>ECOGRAFIA DE CADERAS</t>
  </si>
  <si>
    <t>ECOGRAFIA DE PLEURA</t>
  </si>
  <si>
    <t>ECOGRAFIA TRANSVAGINAL</t>
  </si>
  <si>
    <t>ECOGRAFIA CERVICAL - CERVICOMETRIA</t>
  </si>
  <si>
    <t>ECOGRAFIA DE VEJIGA Y PROSTATA</t>
  </si>
  <si>
    <t>ECOGRAFIA DE VESICULAS SEMINALES</t>
  </si>
  <si>
    <t>ECOGRAFIA DE PENE</t>
  </si>
  <si>
    <t>TAC OTROS ORGANOS Y REGIONES</t>
  </si>
  <si>
    <t>TAC DE OIDOS</t>
  </si>
  <si>
    <t>TAC DE SENOS PARANASALES</t>
  </si>
  <si>
    <t>TAC DE MACIZO FACIAL</t>
  </si>
  <si>
    <t>TAC DE MIEMBROS SUPERIORES UNILATERAL</t>
  </si>
  <si>
    <t>TAC DE COLUMNA CERVICAL</t>
  </si>
  <si>
    <t>TAC DE COLUMNA DORSAL</t>
  </si>
  <si>
    <t>TAC DE COLUMNA LUMBO SACRA</t>
  </si>
  <si>
    <t>TAC CEREBRAL</t>
  </si>
  <si>
    <t>TAC TIROIDEA</t>
  </si>
  <si>
    <t>TAC MAMARIA</t>
  </si>
  <si>
    <t>TAC GINECOLOGICA</t>
  </si>
  <si>
    <t>TAC HEPATOBILIAR</t>
  </si>
  <si>
    <t>TAC TORACICA</t>
  </si>
  <si>
    <t>TAC COLUMNA</t>
  </si>
  <si>
    <t>TAC DE ARBOL URINARIO</t>
  </si>
  <si>
    <t>TAC DE MIEMBROS INFERIORES UNILATERAL</t>
  </si>
  <si>
    <t>TAC</t>
  </si>
  <si>
    <t>FONOAUDIOLOGIA</t>
  </si>
  <si>
    <t>NEXO TERAPIA</t>
  </si>
  <si>
    <t>ECOGRAFIA DE PARTES BLANDAS (POR C/CODIGO)</t>
  </si>
  <si>
    <t>ECOGRAFIA TIROIDEA (POR C/CODIGO)</t>
  </si>
  <si>
    <t>ECOGRAFIA MAMARIA UNI O BILATERAL (POR C/CODIGO)</t>
  </si>
  <si>
    <t>ECOGRAFIA ABDOMINAL (POR C/CODIGO)</t>
  </si>
  <si>
    <t>ECOGRAFIA RENAL UNI O BILATERAL (POR C/CODIGO)</t>
  </si>
  <si>
    <t>ECOGRAFIA HEPATO-BILIO-PANCREATICA (POR C/CODIGO)</t>
  </si>
  <si>
    <t>ECOGRAFIA VESICAL O VESICOPROSTATICA (POR C/CODIGO)</t>
  </si>
  <si>
    <t>ECOGRAFIA GINECOLOGICA (POR C/CODIGO)</t>
  </si>
  <si>
    <t>ECOGRAFIA TRANSVAGINAL (POR C/CODIGO)</t>
  </si>
  <si>
    <t>ECOGRAFIA TESTICULAR (POR C/CODIGO)</t>
  </si>
  <si>
    <t>ECOGRAFIA AMBAS CADERAS</t>
  </si>
  <si>
    <t>ECOGRAFIA MAMARIA Y TRANSVAGINAL</t>
  </si>
  <si>
    <t>ECOGRAFIA RENOVESICAL</t>
  </si>
  <si>
    <t>ECOGRAFIA GINECOLOGICA con o sin trasductor vaginal</t>
  </si>
  <si>
    <t>ECOGRAFIA VEJIGA O PROSTATA  (VESICOPROSTATICA)</t>
  </si>
  <si>
    <t>Cuotas Socios</t>
  </si>
  <si>
    <t>Cuotas Sepelio</t>
  </si>
  <si>
    <t>incluida</t>
  </si>
  <si>
    <t>SEPELIO FAMILIAR por integrante</t>
  </si>
  <si>
    <t>DR. LUIS COSTANZI</t>
  </si>
  <si>
    <t>OCT / TOMOGRAFIAS OCULARES</t>
  </si>
  <si>
    <t>HRT / TOMOGRAFIAS OCULARES</t>
  </si>
  <si>
    <t>VALOR DIARIO</t>
  </si>
  <si>
    <t>SALON 2</t>
  </si>
  <si>
    <t>SALON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</si>
</sst>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Baskerville Old Face"/>
      <family val="1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0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0" xfId="0" applyBorder="1"/>
    <xf numFmtId="0" fontId="2" fillId="2" borderId="16" xfId="0" applyFont="1" applyFill="1" applyBorder="1"/>
    <xf numFmtId="0" fontId="0" fillId="0" borderId="18" xfId="0" applyBorder="1"/>
    <xf numFmtId="0" fontId="0" fillId="0" borderId="0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4" borderId="0" xfId="0" applyFill="1"/>
    <xf numFmtId="0" fontId="14" fillId="0" borderId="18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18" xfId="0" applyFont="1" applyFill="1" applyBorder="1" applyAlignment="1">
      <alignment vertical="top" wrapText="1"/>
    </xf>
    <xf numFmtId="0" fontId="8" fillId="0" borderId="9" xfId="0" applyFont="1" applyFill="1" applyBorder="1" applyAlignment="1">
      <alignment vertical="top" wrapText="1"/>
    </xf>
    <xf numFmtId="0" fontId="8" fillId="0" borderId="8" xfId="0" applyFont="1" applyFill="1" applyBorder="1" applyAlignment="1">
      <alignment vertical="top" wrapText="1"/>
    </xf>
    <xf numFmtId="0" fontId="3" fillId="0" borderId="1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0" fillId="0" borderId="13" xfId="0" applyFill="1" applyBorder="1"/>
    <xf numFmtId="164" fontId="0" fillId="0" borderId="10" xfId="0" applyNumberFormat="1" applyBorder="1" applyAlignment="1">
      <alignment horizontal="left"/>
    </xf>
    <xf numFmtId="0" fontId="0" fillId="0" borderId="13" xfId="0" applyBorder="1"/>
    <xf numFmtId="0" fontId="2" fillId="9" borderId="21" xfId="0" applyFont="1" applyFill="1" applyBorder="1" applyAlignment="1">
      <alignment horizontal="center"/>
    </xf>
    <xf numFmtId="0" fontId="0" fillId="0" borderId="11" xfId="0" applyBorder="1"/>
    <xf numFmtId="0" fontId="0" fillId="0" borderId="6" xfId="0" applyFill="1" applyBorder="1"/>
    <xf numFmtId="0" fontId="0" fillId="0" borderId="8" xfId="0" applyFill="1" applyBorder="1"/>
    <xf numFmtId="0" fontId="2" fillId="2" borderId="12" xfId="0" applyFont="1" applyFill="1" applyBorder="1" applyAlignment="1">
      <alignment horizontal="center"/>
    </xf>
    <xf numFmtId="0" fontId="0" fillId="6" borderId="13" xfId="0" applyFill="1" applyBorder="1"/>
    <xf numFmtId="0" fontId="3" fillId="7" borderId="8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0" fontId="2" fillId="3" borderId="2" xfId="0" applyFont="1" applyFill="1" applyBorder="1"/>
    <xf numFmtId="0" fontId="0" fillId="0" borderId="19" xfId="0" applyFill="1" applyBorder="1"/>
    <xf numFmtId="0" fontId="0" fillId="0" borderId="17" xfId="0" applyFill="1" applyBorder="1"/>
    <xf numFmtId="0" fontId="0" fillId="5" borderId="10" xfId="0" applyFill="1" applyBorder="1"/>
    <xf numFmtId="0" fontId="3" fillId="7" borderId="11" xfId="0" applyFont="1" applyFill="1" applyBorder="1"/>
    <xf numFmtId="0" fontId="3" fillId="7" borderId="11" xfId="0" applyFont="1" applyFill="1" applyBorder="1" applyAlignment="1"/>
    <xf numFmtId="0" fontId="3" fillId="4" borderId="0" xfId="0" applyFont="1" applyFill="1" applyBorder="1"/>
    <xf numFmtId="0" fontId="2" fillId="8" borderId="11" xfId="0" applyFont="1" applyFill="1" applyBorder="1"/>
    <xf numFmtId="0" fontId="3" fillId="0" borderId="16" xfId="0" applyFont="1" applyFill="1" applyBorder="1"/>
    <xf numFmtId="0" fontId="3" fillId="0" borderId="17" xfId="0" applyFont="1" applyFill="1" applyBorder="1"/>
    <xf numFmtId="0" fontId="7" fillId="4" borderId="1" xfId="0" applyFont="1" applyFill="1" applyBorder="1" applyAlignment="1">
      <alignment horizontal="left"/>
    </xf>
    <xf numFmtId="0" fontId="13" fillId="4" borderId="0" xfId="0" applyFont="1" applyFill="1" applyBorder="1" applyAlignment="1">
      <alignment horizontal="center" vertical="top" wrapText="1"/>
    </xf>
    <xf numFmtId="0" fontId="15" fillId="4" borderId="0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/>
    </xf>
    <xf numFmtId="0" fontId="9" fillId="5" borderId="5" xfId="0" applyFont="1" applyFill="1" applyBorder="1"/>
    <xf numFmtId="0" fontId="16" fillId="10" borderId="0" xfId="0" applyFont="1" applyFill="1" applyBorder="1" applyAlignment="1">
      <alignment horizontal="left"/>
    </xf>
    <xf numFmtId="0" fontId="0" fillId="0" borderId="14" xfId="0" applyBorder="1"/>
    <xf numFmtId="0" fontId="9" fillId="5" borderId="24" xfId="0" applyFont="1" applyFill="1" applyBorder="1"/>
    <xf numFmtId="0" fontId="0" fillId="0" borderId="15" xfId="0" applyBorder="1"/>
    <xf numFmtId="0" fontId="2" fillId="11" borderId="16" xfId="0" applyFont="1" applyFill="1" applyBorder="1" applyAlignment="1">
      <alignment horizontal="center"/>
    </xf>
    <xf numFmtId="0" fontId="0" fillId="12" borderId="7" xfId="0" applyFill="1" applyBorder="1"/>
    <xf numFmtId="0" fontId="0" fillId="0" borderId="27" xfId="0" applyBorder="1"/>
    <xf numFmtId="0" fontId="0" fillId="12" borderId="8" xfId="0" applyFill="1" applyBorder="1"/>
    <xf numFmtId="165" fontId="0" fillId="0" borderId="0" xfId="0" applyNumberFormat="1"/>
    <xf numFmtId="165" fontId="0" fillId="0" borderId="7" xfId="0" applyNumberFormat="1" applyBorder="1" applyAlignment="1">
      <alignment horizontal="center"/>
    </xf>
    <xf numFmtId="165" fontId="0" fillId="12" borderId="7" xfId="0" applyNumberFormat="1" applyFill="1" applyBorder="1"/>
    <xf numFmtId="165" fontId="0" fillId="0" borderId="0" xfId="0" applyNumberFormat="1" applyAlignment="1">
      <alignment horizontal="center"/>
    </xf>
    <xf numFmtId="165" fontId="9" fillId="4" borderId="20" xfId="0" applyNumberFormat="1" applyFont="1" applyFill="1" applyBorder="1" applyAlignment="1">
      <alignment horizontal="center"/>
    </xf>
    <xf numFmtId="165" fontId="9" fillId="5" borderId="5" xfId="0" applyNumberFormat="1" applyFont="1" applyFill="1" applyBorder="1" applyAlignment="1">
      <alignment horizontal="center"/>
    </xf>
    <xf numFmtId="165" fontId="0" fillId="12" borderId="7" xfId="0" applyNumberFormat="1" applyFill="1" applyBorder="1" applyAlignment="1">
      <alignment horizontal="center"/>
    </xf>
    <xf numFmtId="165" fontId="0" fillId="0" borderId="7" xfId="0" applyNumberFormat="1" applyFill="1" applyBorder="1" applyAlignment="1">
      <alignment horizontal="center"/>
    </xf>
    <xf numFmtId="165" fontId="0" fillId="13" borderId="7" xfId="0" applyNumberFormat="1" applyFill="1" applyBorder="1" applyAlignment="1">
      <alignment horizontal="center"/>
    </xf>
    <xf numFmtId="165" fontId="0" fillId="14" borderId="7" xfId="0" applyNumberFormat="1" applyFill="1" applyBorder="1" applyAlignment="1">
      <alignment horizontal="center"/>
    </xf>
    <xf numFmtId="165" fontId="0" fillId="4" borderId="7" xfId="0" applyNumberFormat="1" applyFill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9" fillId="5" borderId="24" xfId="0" applyNumberFormat="1" applyFont="1" applyFill="1" applyBorder="1" applyAlignment="1">
      <alignment horizontal="center"/>
    </xf>
    <xf numFmtId="165" fontId="0" fillId="16" borderId="7" xfId="0" applyNumberFormat="1" applyFill="1" applyBorder="1" applyAlignment="1">
      <alignment horizontal="center"/>
    </xf>
    <xf numFmtId="165" fontId="0" fillId="15" borderId="7" xfId="0" applyNumberFormat="1" applyFill="1" applyBorder="1" applyAlignment="1">
      <alignment horizontal="center"/>
    </xf>
    <xf numFmtId="165" fontId="17" fillId="0" borderId="7" xfId="0" applyNumberFormat="1" applyFont="1" applyBorder="1" applyAlignment="1">
      <alignment horizontal="center"/>
    </xf>
    <xf numFmtId="165" fontId="0" fillId="4" borderId="0" xfId="0" applyNumberFormat="1" applyFill="1" applyAlignment="1">
      <alignment horizontal="center"/>
    </xf>
    <xf numFmtId="165" fontId="9" fillId="4" borderId="7" xfId="0" applyNumberFormat="1" applyFont="1" applyFill="1" applyBorder="1" applyAlignment="1">
      <alignment horizontal="center"/>
    </xf>
    <xf numFmtId="165" fontId="9" fillId="0" borderId="7" xfId="0" applyNumberFormat="1" applyFont="1" applyFill="1" applyBorder="1" applyAlignment="1">
      <alignment horizontal="center"/>
    </xf>
    <xf numFmtId="165" fontId="9" fillId="12" borderId="7" xfId="0" applyNumberFormat="1" applyFont="1" applyFill="1" applyBorder="1" applyAlignment="1">
      <alignment horizontal="center"/>
    </xf>
    <xf numFmtId="165" fontId="9" fillId="0" borderId="28" xfId="0" applyNumberFormat="1" applyFont="1" applyFill="1" applyBorder="1" applyAlignment="1">
      <alignment horizontal="center"/>
    </xf>
    <xf numFmtId="165" fontId="0" fillId="0" borderId="8" xfId="0" applyNumberFormat="1" applyFill="1" applyBorder="1" applyAlignment="1">
      <alignment horizontal="center"/>
    </xf>
    <xf numFmtId="165" fontId="0" fillId="12" borderId="8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5" fontId="9" fillId="12" borderId="27" xfId="0" applyNumberFormat="1" applyFont="1" applyFill="1" applyBorder="1" applyAlignment="1">
      <alignment horizontal="center"/>
    </xf>
    <xf numFmtId="165" fontId="9" fillId="0" borderId="27" xfId="0" applyNumberFormat="1" applyFont="1" applyFill="1" applyBorder="1" applyAlignment="1">
      <alignment horizontal="center"/>
    </xf>
    <xf numFmtId="165" fontId="0" fillId="0" borderId="29" xfId="0" applyNumberFormat="1" applyFill="1" applyBorder="1" applyAlignment="1">
      <alignment horizontal="center"/>
    </xf>
    <xf numFmtId="165" fontId="0" fillId="0" borderId="30" xfId="0" applyNumberFormat="1" applyFill="1" applyBorder="1" applyAlignment="1">
      <alignment horizontal="center"/>
    </xf>
    <xf numFmtId="165" fontId="0" fillId="12" borderId="28" xfId="0" applyNumberFormat="1" applyFill="1" applyBorder="1" applyAlignment="1">
      <alignment horizontal="center"/>
    </xf>
    <xf numFmtId="165" fontId="0" fillId="0" borderId="28" xfId="0" applyNumberFormat="1" applyFill="1" applyBorder="1" applyAlignment="1">
      <alignment horizontal="center"/>
    </xf>
    <xf numFmtId="165" fontId="0" fillId="0" borderId="31" xfId="0" applyNumberFormat="1" applyFill="1" applyBorder="1" applyAlignment="1">
      <alignment horizontal="center"/>
    </xf>
    <xf numFmtId="165" fontId="9" fillId="3" borderId="34" xfId="0" applyNumberFormat="1" applyFont="1" applyFill="1" applyBorder="1" applyAlignment="1">
      <alignment horizontal="center"/>
    </xf>
    <xf numFmtId="165" fontId="9" fillId="3" borderId="35" xfId="0" applyNumberFormat="1" applyFont="1" applyFill="1" applyBorder="1" applyAlignment="1">
      <alignment horizontal="center"/>
    </xf>
    <xf numFmtId="165" fontId="0" fillId="12" borderId="27" xfId="0" applyNumberFormat="1" applyFill="1" applyBorder="1" applyAlignment="1">
      <alignment horizontal="center"/>
    </xf>
    <xf numFmtId="165" fontId="9" fillId="0" borderId="29" xfId="0" applyNumberFormat="1" applyFont="1" applyFill="1" applyBorder="1" applyAlignment="1">
      <alignment horizontal="center"/>
    </xf>
    <xf numFmtId="165" fontId="9" fillId="12" borderId="36" xfId="0" applyNumberFormat="1" applyFont="1" applyFill="1" applyBorder="1" applyAlignment="1">
      <alignment horizontal="center"/>
    </xf>
    <xf numFmtId="165" fontId="9" fillId="0" borderId="36" xfId="0" applyNumberFormat="1" applyFont="1" applyFill="1" applyBorder="1" applyAlignment="1">
      <alignment horizontal="center"/>
    </xf>
    <xf numFmtId="165" fontId="9" fillId="0" borderId="37" xfId="0" applyNumberFormat="1" applyFont="1" applyFill="1" applyBorder="1" applyAlignment="1">
      <alignment horizontal="center"/>
    </xf>
    <xf numFmtId="165" fontId="9" fillId="12" borderId="28" xfId="0" applyNumberFormat="1" applyFont="1" applyFill="1" applyBorder="1" applyAlignment="1">
      <alignment horizontal="center"/>
    </xf>
    <xf numFmtId="165" fontId="9" fillId="0" borderId="31" xfId="0" applyNumberFormat="1" applyFont="1" applyFill="1" applyBorder="1" applyAlignment="1">
      <alignment horizontal="center"/>
    </xf>
    <xf numFmtId="0" fontId="0" fillId="0" borderId="19" xfId="0" applyBorder="1"/>
    <xf numFmtId="165" fontId="0" fillId="0" borderId="19" xfId="0" applyNumberFormat="1" applyFill="1" applyBorder="1" applyAlignment="1">
      <alignment horizontal="center"/>
    </xf>
    <xf numFmtId="165" fontId="0" fillId="0" borderId="38" xfId="0" applyNumberFormat="1" applyFill="1" applyBorder="1" applyAlignment="1">
      <alignment horizontal="center"/>
    </xf>
    <xf numFmtId="165" fontId="0" fillId="12" borderId="39" xfId="0" applyNumberFormat="1" applyFill="1" applyBorder="1" applyAlignment="1">
      <alignment horizontal="center"/>
    </xf>
    <xf numFmtId="165" fontId="0" fillId="0" borderId="39" xfId="0" applyNumberFormat="1" applyFill="1" applyBorder="1" applyAlignment="1">
      <alignment horizontal="center"/>
    </xf>
    <xf numFmtId="165" fontId="0" fillId="0" borderId="40" xfId="0" applyNumberFormat="1" applyFill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165" fontId="18" fillId="4" borderId="34" xfId="0" applyNumberFormat="1" applyFont="1" applyFill="1" applyBorder="1" applyAlignment="1">
      <alignment horizontal="center"/>
    </xf>
    <xf numFmtId="165" fontId="18" fillId="4" borderId="35" xfId="0" applyNumberFormat="1" applyFont="1" applyFill="1" applyBorder="1" applyAlignment="1">
      <alignment horizontal="center"/>
    </xf>
    <xf numFmtId="165" fontId="9" fillId="4" borderId="4" xfId="0" applyNumberFormat="1" applyFont="1" applyFill="1" applyBorder="1" applyAlignment="1">
      <alignment horizontal="center"/>
    </xf>
    <xf numFmtId="165" fontId="9" fillId="5" borderId="22" xfId="0" applyNumberFormat="1" applyFont="1" applyFill="1" applyBorder="1" applyAlignment="1">
      <alignment horizontal="center"/>
    </xf>
    <xf numFmtId="165" fontId="9" fillId="5" borderId="20" xfId="0" applyNumberFormat="1" applyFont="1" applyFill="1" applyBorder="1" applyAlignment="1">
      <alignment horizontal="center"/>
    </xf>
    <xf numFmtId="165" fontId="0" fillId="7" borderId="7" xfId="0" applyNumberFormat="1" applyFill="1" applyBorder="1" applyAlignment="1">
      <alignment horizontal="center"/>
    </xf>
    <xf numFmtId="165" fontId="0" fillId="14" borderId="25" xfId="0" applyNumberFormat="1" applyFill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9" fillId="3" borderId="32" xfId="0" applyNumberFormat="1" applyFont="1" applyFill="1" applyBorder="1" applyAlignment="1">
      <alignment horizontal="center"/>
    </xf>
    <xf numFmtId="165" fontId="9" fillId="3" borderId="33" xfId="0" applyNumberFormat="1" applyFont="1" applyFill="1" applyBorder="1" applyAlignment="1">
      <alignment horizontal="center"/>
    </xf>
    <xf numFmtId="0" fontId="3" fillId="7" borderId="41" xfId="0" applyFont="1" applyFill="1" applyBorder="1" applyAlignment="1"/>
    <xf numFmtId="165" fontId="0" fillId="14" borderId="27" xfId="0" applyNumberFormat="1" applyFill="1" applyBorder="1" applyAlignment="1">
      <alignment horizontal="center"/>
    </xf>
    <xf numFmtId="165" fontId="0" fillId="4" borderId="28" xfId="0" applyNumberFormat="1" applyFill="1" applyBorder="1" applyAlignment="1">
      <alignment horizontal="center"/>
    </xf>
    <xf numFmtId="165" fontId="0" fillId="14" borderId="28" xfId="0" applyNumberFormat="1" applyFill="1" applyBorder="1" applyAlignment="1">
      <alignment horizontal="center"/>
    </xf>
    <xf numFmtId="165" fontId="9" fillId="5" borderId="33" xfId="0" applyNumberFormat="1" applyFont="1" applyFill="1" applyBorder="1" applyAlignment="1">
      <alignment horizontal="center"/>
    </xf>
    <xf numFmtId="165" fontId="9" fillId="5" borderId="34" xfId="0" applyNumberFormat="1" applyFont="1" applyFill="1" applyBorder="1" applyAlignment="1">
      <alignment horizontal="center"/>
    </xf>
    <xf numFmtId="165" fontId="9" fillId="4" borderId="34" xfId="0" applyNumberFormat="1" applyFont="1" applyFill="1" applyBorder="1" applyAlignment="1">
      <alignment horizontal="center"/>
    </xf>
    <xf numFmtId="165" fontId="9" fillId="5" borderId="35" xfId="0" applyNumberFormat="1" applyFont="1" applyFill="1" applyBorder="1" applyAlignment="1">
      <alignment horizontal="center"/>
    </xf>
    <xf numFmtId="165" fontId="0" fillId="12" borderId="23" xfId="0" applyNumberFormat="1" applyFill="1" applyBorder="1" applyAlignment="1">
      <alignment horizontal="center"/>
    </xf>
    <xf numFmtId="165" fontId="0" fillId="0" borderId="27" xfId="0" applyNumberFormat="1" applyFill="1" applyBorder="1" applyAlignment="1">
      <alignment horizontal="center"/>
    </xf>
    <xf numFmtId="165" fontId="0" fillId="17" borderId="23" xfId="0" applyNumberFormat="1" applyFill="1" applyBorder="1" applyAlignment="1">
      <alignment horizontal="center"/>
    </xf>
    <xf numFmtId="165" fontId="0" fillId="17" borderId="27" xfId="0" applyNumberFormat="1" applyFill="1" applyBorder="1" applyAlignment="1">
      <alignment horizontal="center"/>
    </xf>
    <xf numFmtId="0" fontId="8" fillId="0" borderId="27" xfId="0" applyFont="1" applyFill="1" applyBorder="1" applyAlignment="1">
      <alignment vertical="top" wrapText="1"/>
    </xf>
    <xf numFmtId="165" fontId="0" fillId="0" borderId="28" xfId="0" applyNumberFormat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165" fontId="9" fillId="4" borderId="32" xfId="0" applyNumberFormat="1" applyFont="1" applyFill="1" applyBorder="1" applyAlignment="1">
      <alignment horizontal="center"/>
    </xf>
    <xf numFmtId="0" fontId="8" fillId="0" borderId="19" xfId="0" applyFont="1" applyFill="1" applyBorder="1" applyAlignment="1">
      <alignment vertical="top" wrapText="1"/>
    </xf>
    <xf numFmtId="0" fontId="8" fillId="0" borderId="6" xfId="0" applyFont="1" applyFill="1" applyBorder="1" applyAlignment="1">
      <alignment vertical="top" wrapText="1"/>
    </xf>
    <xf numFmtId="0" fontId="13" fillId="4" borderId="2" xfId="0" applyFont="1" applyFill="1" applyBorder="1" applyAlignment="1">
      <alignment horizontal="center" vertical="top" wrapText="1"/>
    </xf>
    <xf numFmtId="0" fontId="0" fillId="0" borderId="42" xfId="0" applyBorder="1"/>
    <xf numFmtId="165" fontId="0" fillId="0" borderId="31" xfId="0" applyNumberFormat="1" applyBorder="1" applyAlignment="1">
      <alignment horizontal="center"/>
    </xf>
    <xf numFmtId="0" fontId="0" fillId="0" borderId="43" xfId="0" applyBorder="1"/>
    <xf numFmtId="165" fontId="0" fillId="0" borderId="29" xfId="0" applyNumberFormat="1" applyBorder="1" applyAlignment="1">
      <alignment horizontal="center"/>
    </xf>
    <xf numFmtId="0" fontId="0" fillId="0" borderId="44" xfId="0" applyBorder="1"/>
    <xf numFmtId="165" fontId="0" fillId="0" borderId="45" xfId="0" applyNumberFormat="1" applyFill="1" applyBorder="1" applyAlignment="1">
      <alignment horizontal="center"/>
    </xf>
    <xf numFmtId="165" fontId="0" fillId="0" borderId="45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65" fontId="0" fillId="0" borderId="37" xfId="0" applyNumberFormat="1" applyBorder="1" applyAlignment="1">
      <alignment horizontal="center"/>
    </xf>
    <xf numFmtId="165" fontId="0" fillId="0" borderId="46" xfId="0" applyNumberFormat="1" applyBorder="1" applyAlignment="1">
      <alignment horizontal="center"/>
    </xf>
    <xf numFmtId="165" fontId="0" fillId="0" borderId="47" xfId="0" applyNumberFormat="1" applyBorder="1" applyAlignment="1">
      <alignment horizontal="center"/>
    </xf>
    <xf numFmtId="165" fontId="0" fillId="12" borderId="36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4" borderId="0" xfId="0" applyFill="1" applyAlignment="1">
      <alignment horizontal="center"/>
    </xf>
    <xf numFmtId="165" fontId="10" fillId="4" borderId="12" xfId="0" applyNumberFormat="1" applyFont="1" applyFill="1" applyBorder="1" applyAlignment="1">
      <alignment horizontal="center"/>
    </xf>
  </cellXfs>
  <cellStyles count="4">
    <cellStyle name="Moneda 2" xfId="1"/>
    <cellStyle name="Moneda 2 2" xfId="3"/>
    <cellStyle name="Moned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257"/>
  <sheetViews>
    <sheetView tabSelected="1" topLeftCell="A62" zoomScale="90" zoomScaleNormal="90" workbookViewId="0">
      <selection activeCell="A77" sqref="A77"/>
    </sheetView>
  </sheetViews>
  <sheetFormatPr baseColWidth="10" defaultRowHeight="15" x14ac:dyDescent="0.25"/>
  <cols>
    <col min="1" max="1" width="58.28515625" bestFit="1" customWidth="1"/>
    <col min="2" max="2" width="14.28515625" style="67" bestFit="1" customWidth="1"/>
    <col min="3" max="4" width="9.85546875" style="67" bestFit="1" customWidth="1"/>
    <col min="5" max="5" width="10.42578125" style="67" bestFit="1" customWidth="1"/>
    <col min="6" max="7" width="11.5703125" style="67" bestFit="1" customWidth="1"/>
    <col min="8" max="9" width="12.5703125" style="67" customWidth="1"/>
    <col min="10" max="10" width="18" style="155" bestFit="1" customWidth="1"/>
    <col min="11" max="11" width="23.28515625" bestFit="1" customWidth="1"/>
  </cols>
  <sheetData>
    <row r="1" spans="1:11" ht="19.5" thickBot="1" x14ac:dyDescent="0.35">
      <c r="B1" s="159"/>
      <c r="C1" s="159"/>
      <c r="D1" s="159"/>
      <c r="E1" s="159"/>
      <c r="F1" s="159"/>
      <c r="G1" s="159"/>
      <c r="H1" s="159"/>
    </row>
    <row r="2" spans="1:11" ht="16.5" thickBot="1" x14ac:dyDescent="0.3">
      <c r="A2" s="20" t="s">
        <v>226</v>
      </c>
      <c r="B2" s="114"/>
      <c r="C2" s="115"/>
      <c r="D2" s="115"/>
      <c r="E2" s="116"/>
      <c r="F2" s="68" t="s">
        <v>94</v>
      </c>
      <c r="G2" s="68" t="s">
        <v>95</v>
      </c>
      <c r="H2" s="69" t="s">
        <v>96</v>
      </c>
      <c r="I2" s="69" t="s">
        <v>124</v>
      </c>
    </row>
    <row r="3" spans="1:11" x14ac:dyDescent="0.25">
      <c r="A3" s="8" t="s">
        <v>46</v>
      </c>
      <c r="B3" s="65"/>
      <c r="C3" s="65">
        <v>5550</v>
      </c>
      <c r="D3" s="65">
        <v>5550</v>
      </c>
      <c r="E3" s="65">
        <v>5550</v>
      </c>
      <c r="F3" s="73">
        <v>5550</v>
      </c>
      <c r="G3" s="65" t="s">
        <v>227</v>
      </c>
      <c r="H3" s="65">
        <v>4550</v>
      </c>
      <c r="I3" s="145">
        <f>+F3</f>
        <v>5550</v>
      </c>
    </row>
    <row r="4" spans="1:11" ht="15.75" thickBot="1" x14ac:dyDescent="0.3">
      <c r="A4" s="10" t="s">
        <v>228</v>
      </c>
      <c r="B4" s="150"/>
      <c r="C4" s="150">
        <v>8500</v>
      </c>
      <c r="D4" s="150">
        <v>8500</v>
      </c>
      <c r="E4" s="150">
        <v>8500</v>
      </c>
      <c r="F4" s="150">
        <f>+F3</f>
        <v>5550</v>
      </c>
      <c r="G4" s="65" t="s">
        <v>227</v>
      </c>
      <c r="H4" s="150"/>
      <c r="I4" s="151">
        <f>+I3*2</f>
        <v>11100</v>
      </c>
    </row>
    <row r="5" spans="1:11" ht="15.75" thickBot="1" x14ac:dyDescent="0.3">
      <c r="A5" s="20" t="s">
        <v>225</v>
      </c>
      <c r="B5" s="152"/>
      <c r="C5" s="152"/>
      <c r="D5" s="152"/>
      <c r="E5" s="152"/>
      <c r="F5" s="152"/>
      <c r="G5" s="152"/>
      <c r="H5" s="152"/>
      <c r="I5" s="153"/>
    </row>
    <row r="6" spans="1:11" x14ac:dyDescent="0.25">
      <c r="A6" s="9" t="s">
        <v>152</v>
      </c>
      <c r="B6" s="65"/>
      <c r="C6" s="65">
        <v>20000</v>
      </c>
      <c r="D6" s="65">
        <v>20000</v>
      </c>
      <c r="E6" s="65">
        <v>30000</v>
      </c>
      <c r="F6" s="65">
        <v>15000</v>
      </c>
      <c r="G6" s="65">
        <v>30000</v>
      </c>
      <c r="H6" s="65"/>
      <c r="I6" s="145" t="s">
        <v>125</v>
      </c>
    </row>
    <row r="7" spans="1:11" ht="15.75" thickBot="1" x14ac:dyDescent="0.3">
      <c r="A7" s="10" t="s">
        <v>126</v>
      </c>
      <c r="B7" s="150"/>
      <c r="C7" s="150">
        <v>14000</v>
      </c>
      <c r="D7" s="150">
        <v>14000</v>
      </c>
      <c r="E7" s="150">
        <v>20000</v>
      </c>
      <c r="F7" s="154">
        <f>+F6/2</f>
        <v>7500</v>
      </c>
      <c r="G7" s="154">
        <f>+G6/2</f>
        <v>15000</v>
      </c>
      <c r="H7" s="150"/>
      <c r="I7" s="151"/>
    </row>
    <row r="8" spans="1:11" ht="16.5" thickBot="1" x14ac:dyDescent="0.3">
      <c r="A8" s="20" t="s">
        <v>97</v>
      </c>
      <c r="B8" s="114"/>
      <c r="C8" s="115"/>
      <c r="D8" s="115"/>
      <c r="E8" s="116"/>
      <c r="F8" s="68" t="s">
        <v>94</v>
      </c>
      <c r="G8" s="68" t="s">
        <v>95</v>
      </c>
      <c r="H8" s="69" t="s">
        <v>96</v>
      </c>
      <c r="I8" s="69" t="s">
        <v>124</v>
      </c>
      <c r="J8" s="114" t="s">
        <v>151</v>
      </c>
      <c r="K8" s="55"/>
    </row>
    <row r="9" spans="1:11" x14ac:dyDescent="0.25">
      <c r="A9" s="21" t="s">
        <v>98</v>
      </c>
      <c r="B9" s="65"/>
      <c r="C9" s="65"/>
      <c r="D9" s="65"/>
      <c r="E9" s="65"/>
      <c r="F9" s="65"/>
      <c r="G9" s="65"/>
      <c r="H9" s="65"/>
      <c r="I9" s="65"/>
      <c r="J9" s="156">
        <v>4800</v>
      </c>
      <c r="K9" s="11">
        <v>4800</v>
      </c>
    </row>
    <row r="10" spans="1:11" ht="15.75" thickBot="1" x14ac:dyDescent="0.3">
      <c r="A10" s="22" t="s">
        <v>41</v>
      </c>
      <c r="B10" s="65">
        <v>10000</v>
      </c>
      <c r="C10" s="65"/>
      <c r="D10" s="65"/>
      <c r="E10" s="65">
        <v>4200</v>
      </c>
      <c r="F10" s="65"/>
      <c r="G10" s="70">
        <f>+B10*0.6</f>
        <v>6000</v>
      </c>
      <c r="H10" s="65"/>
      <c r="I10" s="65"/>
      <c r="J10" s="156"/>
      <c r="K10" s="11"/>
    </row>
    <row r="11" spans="1:11" x14ac:dyDescent="0.25">
      <c r="A11" s="19" t="s">
        <v>132</v>
      </c>
      <c r="B11" s="65">
        <v>30000</v>
      </c>
      <c r="C11" s="65"/>
      <c r="D11" s="65"/>
      <c r="E11" s="65">
        <v>10000</v>
      </c>
      <c r="F11" s="65"/>
      <c r="G11" s="70">
        <v>15000</v>
      </c>
      <c r="H11" s="65"/>
      <c r="I11" s="65"/>
      <c r="J11" s="156"/>
      <c r="K11" s="11"/>
    </row>
    <row r="12" spans="1:11" x14ac:dyDescent="0.25">
      <c r="A12" s="23" t="s">
        <v>42</v>
      </c>
      <c r="B12" s="65">
        <v>25000</v>
      </c>
      <c r="C12" s="65"/>
      <c r="D12" s="65"/>
      <c r="E12" s="65">
        <v>8000</v>
      </c>
      <c r="F12" s="65"/>
      <c r="G12" s="70">
        <v>12000</v>
      </c>
      <c r="H12" s="65"/>
      <c r="I12" s="65"/>
      <c r="J12" s="156"/>
      <c r="K12" s="11"/>
    </row>
    <row r="13" spans="1:11" x14ac:dyDescent="0.25">
      <c r="A13" s="19" t="s">
        <v>133</v>
      </c>
      <c r="B13" s="65"/>
      <c r="C13" s="65"/>
      <c r="D13" s="65"/>
      <c r="E13" s="65">
        <v>17000</v>
      </c>
      <c r="F13" s="65"/>
      <c r="G13" s="71">
        <v>18000</v>
      </c>
      <c r="H13" s="65"/>
      <c r="I13" s="65"/>
      <c r="J13" s="156"/>
      <c r="K13" s="11"/>
    </row>
    <row r="14" spans="1:11" ht="15.75" thickBot="1" x14ac:dyDescent="0.3">
      <c r="A14" s="19" t="s">
        <v>134</v>
      </c>
      <c r="B14" s="65"/>
      <c r="C14" s="65"/>
      <c r="D14" s="65"/>
      <c r="E14" s="65">
        <v>18400</v>
      </c>
      <c r="F14" s="65"/>
      <c r="G14" s="71">
        <v>20000</v>
      </c>
      <c r="H14" s="65"/>
      <c r="I14" s="65"/>
      <c r="J14" s="156"/>
      <c r="K14" s="11"/>
    </row>
    <row r="15" spans="1:11" ht="15.75" customHeight="1" thickBot="1" x14ac:dyDescent="0.3">
      <c r="A15" s="1" t="s">
        <v>13</v>
      </c>
      <c r="B15" s="114"/>
      <c r="C15" s="115"/>
      <c r="D15" s="115"/>
      <c r="E15" s="116"/>
      <c r="F15" s="68" t="s">
        <v>94</v>
      </c>
      <c r="G15" s="68" t="s">
        <v>95</v>
      </c>
      <c r="H15" s="69" t="s">
        <v>96</v>
      </c>
      <c r="I15" s="69" t="s">
        <v>124</v>
      </c>
      <c r="J15" s="114" t="s">
        <v>151</v>
      </c>
      <c r="K15" s="58"/>
    </row>
    <row r="16" spans="1:11" x14ac:dyDescent="0.25">
      <c r="A16" s="24" t="s">
        <v>14</v>
      </c>
      <c r="B16" s="65">
        <v>88500</v>
      </c>
      <c r="C16" s="65"/>
      <c r="D16" s="65">
        <v>44800</v>
      </c>
      <c r="E16" s="65">
        <v>44800</v>
      </c>
      <c r="F16" s="70">
        <f>+B16*0.7</f>
        <v>61949.999999999993</v>
      </c>
      <c r="G16" s="70">
        <f>+B16*0.6</f>
        <v>53100</v>
      </c>
      <c r="H16" s="65">
        <v>14750</v>
      </c>
      <c r="I16" s="65">
        <v>0</v>
      </c>
      <c r="J16" s="156">
        <v>29500</v>
      </c>
      <c r="K16" s="11">
        <v>88500</v>
      </c>
    </row>
    <row r="17" spans="1:11" x14ac:dyDescent="0.25">
      <c r="A17" s="25" t="s">
        <v>15</v>
      </c>
      <c r="B17" s="65">
        <v>177000</v>
      </c>
      <c r="C17" s="65"/>
      <c r="D17" s="65">
        <v>88500</v>
      </c>
      <c r="E17" s="65">
        <v>88500</v>
      </c>
      <c r="F17" s="70">
        <f>+B17*0.7</f>
        <v>123899.99999999999</v>
      </c>
      <c r="G17" s="70">
        <f>+B17*0.6</f>
        <v>106200</v>
      </c>
      <c r="H17" s="65">
        <v>29500</v>
      </c>
      <c r="I17" s="65">
        <v>0</v>
      </c>
      <c r="J17" s="156">
        <v>59000</v>
      </c>
      <c r="K17" s="11">
        <v>177000</v>
      </c>
    </row>
    <row r="18" spans="1:11" ht="15.75" thickBot="1" x14ac:dyDescent="0.3">
      <c r="A18" s="56" t="s">
        <v>127</v>
      </c>
      <c r="B18" s="65"/>
      <c r="C18" s="65"/>
      <c r="D18" s="65"/>
      <c r="E18" s="65">
        <v>16000</v>
      </c>
      <c r="F18" s="65"/>
      <c r="G18" s="65"/>
      <c r="H18" s="65"/>
      <c r="I18" s="65"/>
      <c r="J18" s="156"/>
      <c r="K18" s="11"/>
    </row>
    <row r="19" spans="1:11" ht="16.5" thickBot="1" x14ac:dyDescent="0.3">
      <c r="A19" s="3" t="s">
        <v>20</v>
      </c>
      <c r="B19" s="114"/>
      <c r="C19" s="115"/>
      <c r="D19" s="115"/>
      <c r="E19" s="116"/>
      <c r="F19" s="68" t="s">
        <v>94</v>
      </c>
      <c r="G19" s="68" t="s">
        <v>95</v>
      </c>
      <c r="H19" s="69" t="s">
        <v>96</v>
      </c>
      <c r="I19" s="69" t="s">
        <v>124</v>
      </c>
    </row>
    <row r="20" spans="1:11" ht="15.75" thickBot="1" x14ac:dyDescent="0.3">
      <c r="A20" s="23" t="s">
        <v>99</v>
      </c>
      <c r="B20" s="65">
        <v>20000</v>
      </c>
      <c r="C20" s="65"/>
      <c r="D20" s="65"/>
      <c r="E20" s="65">
        <v>8000</v>
      </c>
      <c r="F20" s="72">
        <v>0</v>
      </c>
      <c r="G20" s="70">
        <f>+B20*0.6</f>
        <v>12000</v>
      </c>
      <c r="H20" s="65"/>
      <c r="I20" s="65"/>
    </row>
    <row r="21" spans="1:11" ht="15.75" customHeight="1" x14ac:dyDescent="0.25">
      <c r="A21" s="26" t="s">
        <v>16</v>
      </c>
      <c r="B21" s="114"/>
      <c r="C21" s="115"/>
      <c r="D21" s="115"/>
      <c r="E21" s="116"/>
      <c r="F21" s="68" t="s">
        <v>94</v>
      </c>
      <c r="G21" s="68" t="s">
        <v>95</v>
      </c>
      <c r="H21" s="69" t="s">
        <v>96</v>
      </c>
      <c r="I21" s="69" t="s">
        <v>124</v>
      </c>
      <c r="J21" s="114" t="s">
        <v>151</v>
      </c>
      <c r="K21" s="55"/>
    </row>
    <row r="22" spans="1:11" ht="15.75" thickBot="1" x14ac:dyDescent="0.3">
      <c r="A22" s="27" t="s">
        <v>100</v>
      </c>
      <c r="B22" s="65">
        <v>35000</v>
      </c>
      <c r="C22" s="65"/>
      <c r="D22" s="65">
        <v>20000</v>
      </c>
      <c r="E22" s="65">
        <v>20000</v>
      </c>
      <c r="F22" s="72">
        <v>0</v>
      </c>
      <c r="G22" s="70">
        <v>20000</v>
      </c>
      <c r="H22" s="65">
        <v>7000</v>
      </c>
      <c r="I22" s="65">
        <v>0</v>
      </c>
      <c r="J22" s="156">
        <v>35000</v>
      </c>
      <c r="K22" s="11">
        <v>35000</v>
      </c>
    </row>
    <row r="23" spans="1:11" ht="15.75" customHeight="1" thickBot="1" x14ac:dyDescent="0.3">
      <c r="A23" s="3" t="s">
        <v>27</v>
      </c>
      <c r="B23" s="114"/>
      <c r="C23" s="115"/>
      <c r="D23" s="115"/>
      <c r="E23" s="116"/>
      <c r="F23" s="68" t="s">
        <v>94</v>
      </c>
      <c r="G23" s="68" t="s">
        <v>95</v>
      </c>
      <c r="H23" s="69" t="s">
        <v>96</v>
      </c>
      <c r="I23" s="69" t="s">
        <v>124</v>
      </c>
      <c r="J23" s="114" t="s">
        <v>151</v>
      </c>
      <c r="K23" s="55"/>
    </row>
    <row r="24" spans="1:11" ht="15.75" thickBot="1" x14ac:dyDescent="0.3">
      <c r="A24" s="23"/>
      <c r="B24" s="65"/>
      <c r="C24" s="65"/>
      <c r="D24" s="65"/>
      <c r="E24" s="65"/>
      <c r="F24" s="72"/>
      <c r="G24" s="70"/>
      <c r="H24" s="65"/>
      <c r="I24" s="65"/>
      <c r="J24" s="156"/>
      <c r="K24" s="11"/>
    </row>
    <row r="25" spans="1:11" ht="16.5" thickBot="1" x14ac:dyDescent="0.3">
      <c r="A25" s="3" t="s">
        <v>101</v>
      </c>
      <c r="B25" s="114"/>
      <c r="C25" s="115"/>
      <c r="D25" s="115"/>
      <c r="E25" s="116"/>
      <c r="F25" s="68" t="s">
        <v>94</v>
      </c>
      <c r="G25" s="68" t="s">
        <v>95</v>
      </c>
      <c r="H25" s="69" t="s">
        <v>96</v>
      </c>
      <c r="I25" s="69" t="s">
        <v>124</v>
      </c>
      <c r="J25" s="114" t="s">
        <v>151</v>
      </c>
      <c r="K25" s="55"/>
    </row>
    <row r="26" spans="1:11" ht="15.75" thickBot="1" x14ac:dyDescent="0.3">
      <c r="A26" s="28" t="s">
        <v>100</v>
      </c>
      <c r="B26" s="65">
        <v>20000</v>
      </c>
      <c r="C26" s="65">
        <v>12600</v>
      </c>
      <c r="D26" s="65">
        <v>8200</v>
      </c>
      <c r="E26" s="65">
        <v>12600</v>
      </c>
      <c r="F26" s="72">
        <f>+B26*0.7</f>
        <v>14000</v>
      </c>
      <c r="G26" s="70">
        <f>+B26*0.6</f>
        <v>12000</v>
      </c>
      <c r="H26" s="65">
        <v>5400</v>
      </c>
      <c r="I26" s="65">
        <v>0</v>
      </c>
      <c r="J26" s="156">
        <v>17400</v>
      </c>
      <c r="K26" s="11">
        <v>17400</v>
      </c>
    </row>
    <row r="27" spans="1:11" ht="15.75" customHeight="1" thickBot="1" x14ac:dyDescent="0.3">
      <c r="A27" s="3" t="s">
        <v>93</v>
      </c>
      <c r="B27" s="114"/>
      <c r="C27" s="115"/>
      <c r="D27" s="115"/>
      <c r="E27" s="116"/>
      <c r="F27" s="68" t="s">
        <v>94</v>
      </c>
      <c r="G27" s="68" t="s">
        <v>95</v>
      </c>
      <c r="H27" s="69" t="s">
        <v>96</v>
      </c>
      <c r="I27" s="69" t="s">
        <v>124</v>
      </c>
      <c r="J27" s="114" t="s">
        <v>151</v>
      </c>
      <c r="K27" s="55"/>
    </row>
    <row r="28" spans="1:11" ht="15.75" thickBot="1" x14ac:dyDescent="0.3">
      <c r="A28" s="29" t="s">
        <v>102</v>
      </c>
      <c r="B28" s="65">
        <v>228334</v>
      </c>
      <c r="C28" s="65">
        <v>149000</v>
      </c>
      <c r="D28" s="65">
        <v>137000</v>
      </c>
      <c r="E28" s="65">
        <v>149000</v>
      </c>
      <c r="F28" s="72">
        <f>+B28*0.7</f>
        <v>159833.79999999999</v>
      </c>
      <c r="G28" s="70">
        <f>+B28*0.6</f>
        <v>137000.4</v>
      </c>
      <c r="H28" s="65">
        <v>74000</v>
      </c>
      <c r="I28" s="65">
        <v>74000</v>
      </c>
      <c r="J28" s="156">
        <v>199000</v>
      </c>
      <c r="K28" s="11">
        <v>199000</v>
      </c>
    </row>
    <row r="29" spans="1:11" ht="15.75" customHeight="1" thickBot="1" x14ac:dyDescent="0.3">
      <c r="A29" s="1" t="s">
        <v>43</v>
      </c>
      <c r="B29" s="114"/>
      <c r="C29" s="115"/>
      <c r="D29" s="115"/>
      <c r="E29" s="116"/>
      <c r="F29" s="68" t="s">
        <v>94</v>
      </c>
      <c r="G29" s="68" t="s">
        <v>95</v>
      </c>
      <c r="H29" s="69" t="s">
        <v>96</v>
      </c>
      <c r="I29" s="69" t="s">
        <v>124</v>
      </c>
      <c r="J29" s="114" t="s">
        <v>151</v>
      </c>
      <c r="K29" s="55"/>
    </row>
    <row r="30" spans="1:11" ht="15.75" thickBot="1" x14ac:dyDescent="0.3">
      <c r="A30" s="30" t="s">
        <v>103</v>
      </c>
      <c r="B30" s="65">
        <v>72000</v>
      </c>
      <c r="C30" s="65">
        <v>36700</v>
      </c>
      <c r="D30" s="65">
        <v>31000</v>
      </c>
      <c r="E30" s="65">
        <v>36700</v>
      </c>
      <c r="F30" s="72">
        <f>+B30*0.7</f>
        <v>50400</v>
      </c>
      <c r="G30" s="70">
        <f>+B30*0.6</f>
        <v>43200</v>
      </c>
      <c r="H30" s="65">
        <v>16800</v>
      </c>
      <c r="I30" s="65">
        <v>16800</v>
      </c>
      <c r="J30" s="156">
        <v>43400</v>
      </c>
      <c r="K30" s="11">
        <v>43400</v>
      </c>
    </row>
    <row r="31" spans="1:11" ht="18" customHeight="1" thickBot="1" x14ac:dyDescent="0.3">
      <c r="A31" s="1" t="s">
        <v>1</v>
      </c>
      <c r="B31" s="114"/>
      <c r="C31" s="115"/>
      <c r="D31" s="115"/>
      <c r="E31" s="116"/>
      <c r="F31" s="68" t="s">
        <v>94</v>
      </c>
      <c r="G31" s="68" t="s">
        <v>95</v>
      </c>
      <c r="H31" s="69" t="s">
        <v>96</v>
      </c>
      <c r="I31" s="69" t="s">
        <v>124</v>
      </c>
      <c r="J31" s="114" t="s">
        <v>151</v>
      </c>
      <c r="K31" s="55"/>
    </row>
    <row r="32" spans="1:11" ht="15" customHeight="1" thickBot="1" x14ac:dyDescent="0.3">
      <c r="A32" s="31" t="s">
        <v>104</v>
      </c>
      <c r="B32" s="65">
        <v>33000</v>
      </c>
      <c r="C32" s="65">
        <v>16600</v>
      </c>
      <c r="D32" s="65">
        <v>16600</v>
      </c>
      <c r="E32" s="65">
        <v>16600</v>
      </c>
      <c r="F32" s="72">
        <f>+B32*0.7</f>
        <v>23100</v>
      </c>
      <c r="G32" s="70">
        <f>+B32*0.6</f>
        <v>19800</v>
      </c>
      <c r="H32" s="65">
        <v>10800</v>
      </c>
      <c r="I32" s="65">
        <v>10800</v>
      </c>
      <c r="J32" s="156">
        <v>20300</v>
      </c>
      <c r="K32" s="11">
        <v>20300</v>
      </c>
    </row>
    <row r="33" spans="1:11" ht="16.5" thickBot="1" x14ac:dyDescent="0.3">
      <c r="A33" s="1" t="s">
        <v>39</v>
      </c>
      <c r="B33" s="114"/>
      <c r="C33" s="115"/>
      <c r="D33" s="115"/>
      <c r="E33" s="116"/>
      <c r="F33" s="68" t="s">
        <v>94</v>
      </c>
      <c r="G33" s="68" t="s">
        <v>95</v>
      </c>
      <c r="H33" s="69" t="s">
        <v>96</v>
      </c>
      <c r="I33" s="69" t="s">
        <v>124</v>
      </c>
      <c r="J33" s="114" t="s">
        <v>151</v>
      </c>
      <c r="K33" s="55"/>
    </row>
    <row r="34" spans="1:11" ht="15.75" thickBot="1" x14ac:dyDescent="0.3">
      <c r="A34" s="31" t="s">
        <v>104</v>
      </c>
      <c r="B34" s="65">
        <v>24600</v>
      </c>
      <c r="C34" s="65">
        <v>12500</v>
      </c>
      <c r="D34" s="65">
        <v>12500</v>
      </c>
      <c r="E34" s="65">
        <v>12500</v>
      </c>
      <c r="F34" s="72">
        <f>+B34*0.7</f>
        <v>17220</v>
      </c>
      <c r="G34" s="70">
        <f>+B34*0.6</f>
        <v>14760</v>
      </c>
      <c r="H34" s="65">
        <v>6300</v>
      </c>
      <c r="I34" s="65">
        <v>6300</v>
      </c>
      <c r="J34" s="156">
        <v>15200</v>
      </c>
      <c r="K34" s="11">
        <v>15200</v>
      </c>
    </row>
    <row r="35" spans="1:11" ht="15" customHeight="1" thickBot="1" x14ac:dyDescent="0.3">
      <c r="A35" s="1" t="s">
        <v>19</v>
      </c>
      <c r="B35" s="114"/>
      <c r="C35" s="115"/>
      <c r="D35" s="115"/>
      <c r="E35" s="116"/>
      <c r="F35" s="68" t="s">
        <v>94</v>
      </c>
      <c r="G35" s="68" t="s">
        <v>95</v>
      </c>
      <c r="H35" s="69" t="s">
        <v>96</v>
      </c>
      <c r="I35" s="69" t="s">
        <v>124</v>
      </c>
      <c r="J35" s="114" t="s">
        <v>151</v>
      </c>
      <c r="K35" s="55"/>
    </row>
    <row r="36" spans="1:11" ht="15" customHeight="1" thickBot="1" x14ac:dyDescent="0.3">
      <c r="A36" s="31" t="s">
        <v>104</v>
      </c>
      <c r="B36" s="65">
        <v>24600</v>
      </c>
      <c r="C36" s="65">
        <v>12500</v>
      </c>
      <c r="D36" s="65">
        <v>12500</v>
      </c>
      <c r="E36" s="65">
        <v>12500</v>
      </c>
      <c r="F36" s="72">
        <f>+B36*0.7</f>
        <v>17220</v>
      </c>
      <c r="G36" s="70">
        <f>+B36*0.6</f>
        <v>14760</v>
      </c>
      <c r="H36" s="65">
        <v>6300</v>
      </c>
      <c r="I36" s="65">
        <v>6300</v>
      </c>
      <c r="J36" s="156">
        <v>15200</v>
      </c>
      <c r="K36" s="11">
        <v>15200</v>
      </c>
    </row>
    <row r="37" spans="1:11" ht="15.75" customHeight="1" thickBot="1" x14ac:dyDescent="0.3">
      <c r="A37" s="1" t="s">
        <v>17</v>
      </c>
      <c r="B37" s="114"/>
      <c r="C37" s="115"/>
      <c r="D37" s="115"/>
      <c r="E37" s="116"/>
      <c r="F37" s="68" t="s">
        <v>94</v>
      </c>
      <c r="G37" s="68" t="s">
        <v>95</v>
      </c>
      <c r="H37" s="69" t="s">
        <v>96</v>
      </c>
      <c r="I37" s="69" t="s">
        <v>124</v>
      </c>
      <c r="J37" s="114" t="s">
        <v>151</v>
      </c>
      <c r="K37" s="55"/>
    </row>
    <row r="38" spans="1:11" ht="15.75" thickBot="1" x14ac:dyDescent="0.3">
      <c r="A38" s="31" t="s">
        <v>104</v>
      </c>
      <c r="B38" s="65">
        <v>24600</v>
      </c>
      <c r="C38" s="65">
        <v>12500</v>
      </c>
      <c r="D38" s="65">
        <v>12500</v>
      </c>
      <c r="E38" s="65">
        <v>12500</v>
      </c>
      <c r="F38" s="72">
        <f>+B38*0.7</f>
        <v>17220</v>
      </c>
      <c r="G38" s="70">
        <f>+B38*0.6</f>
        <v>14760</v>
      </c>
      <c r="H38" s="65">
        <v>6300</v>
      </c>
      <c r="I38" s="65">
        <v>6300</v>
      </c>
      <c r="J38" s="156">
        <v>15200</v>
      </c>
      <c r="K38" s="11">
        <v>15200</v>
      </c>
    </row>
    <row r="39" spans="1:11" ht="16.5" thickBot="1" x14ac:dyDescent="0.3">
      <c r="A39" s="1" t="s">
        <v>18</v>
      </c>
      <c r="B39" s="114"/>
      <c r="C39" s="115"/>
      <c r="D39" s="115"/>
      <c r="E39" s="116"/>
      <c r="F39" s="68" t="s">
        <v>94</v>
      </c>
      <c r="G39" s="68" t="s">
        <v>95</v>
      </c>
      <c r="H39" s="69" t="s">
        <v>96</v>
      </c>
      <c r="I39" s="69" t="s">
        <v>124</v>
      </c>
      <c r="J39" s="114" t="s">
        <v>151</v>
      </c>
      <c r="K39" s="55"/>
    </row>
    <row r="40" spans="1:11" ht="15.75" thickBot="1" x14ac:dyDescent="0.3">
      <c r="A40" s="31" t="s">
        <v>104</v>
      </c>
      <c r="B40" s="65">
        <v>24600</v>
      </c>
      <c r="C40" s="65">
        <v>12500</v>
      </c>
      <c r="D40" s="65">
        <v>12500</v>
      </c>
      <c r="E40" s="65">
        <v>12500</v>
      </c>
      <c r="F40" s="72">
        <f>+B40*0.7</f>
        <v>17220</v>
      </c>
      <c r="G40" s="70">
        <f>+B40*0.6</f>
        <v>14760</v>
      </c>
      <c r="H40" s="65">
        <v>6300</v>
      </c>
      <c r="I40" s="65">
        <v>6300</v>
      </c>
      <c r="J40" s="156">
        <v>15200</v>
      </c>
      <c r="K40" s="11">
        <v>15200</v>
      </c>
    </row>
    <row r="41" spans="1:11" ht="15.75" x14ac:dyDescent="0.25">
      <c r="A41" s="32" t="s">
        <v>67</v>
      </c>
      <c r="B41" s="114"/>
      <c r="C41" s="115"/>
      <c r="D41" s="115"/>
      <c r="E41" s="116"/>
      <c r="F41" s="68" t="s">
        <v>94</v>
      </c>
      <c r="G41" s="68" t="s">
        <v>95</v>
      </c>
      <c r="H41" s="69" t="s">
        <v>96</v>
      </c>
      <c r="I41" s="69" t="s">
        <v>124</v>
      </c>
      <c r="J41" s="114" t="s">
        <v>151</v>
      </c>
      <c r="K41" s="55"/>
    </row>
    <row r="42" spans="1:11" ht="15.75" thickBot="1" x14ac:dyDescent="0.3">
      <c r="A42" s="33" t="s">
        <v>104</v>
      </c>
      <c r="B42" s="65">
        <v>72000</v>
      </c>
      <c r="C42" s="65">
        <v>36700</v>
      </c>
      <c r="D42" s="65">
        <v>31000</v>
      </c>
      <c r="E42" s="65">
        <v>36700</v>
      </c>
      <c r="F42" s="72">
        <f>+B42*0.7</f>
        <v>50400</v>
      </c>
      <c r="G42" s="70">
        <f>+B42*0.6</f>
        <v>43200</v>
      </c>
      <c r="H42" s="65">
        <v>16800</v>
      </c>
      <c r="I42" s="65">
        <v>16800</v>
      </c>
      <c r="J42" s="156">
        <v>43400</v>
      </c>
      <c r="K42" s="11">
        <v>43400</v>
      </c>
    </row>
    <row r="43" spans="1:11" ht="15.75" customHeight="1" thickBot="1" x14ac:dyDescent="0.3">
      <c r="A43" s="2" t="s">
        <v>2</v>
      </c>
      <c r="B43" s="114"/>
      <c r="C43" s="115"/>
      <c r="D43" s="115"/>
      <c r="E43" s="116"/>
      <c r="F43" s="68" t="s">
        <v>94</v>
      </c>
      <c r="G43" s="68" t="s">
        <v>95</v>
      </c>
      <c r="H43" s="69" t="s">
        <v>96</v>
      </c>
      <c r="I43" s="69" t="s">
        <v>124</v>
      </c>
      <c r="J43" s="114" t="s">
        <v>151</v>
      </c>
      <c r="K43" s="55"/>
    </row>
    <row r="44" spans="1:11" x14ac:dyDescent="0.25">
      <c r="A44" s="34" t="s">
        <v>105</v>
      </c>
      <c r="B44" s="65">
        <v>12000</v>
      </c>
      <c r="C44" s="65">
        <v>4200</v>
      </c>
      <c r="D44" s="65">
        <v>0</v>
      </c>
      <c r="E44" s="65">
        <v>4200</v>
      </c>
      <c r="F44" s="72">
        <f>+B44*0.7</f>
        <v>8400</v>
      </c>
      <c r="G44" s="72">
        <f>+B44*0.6</f>
        <v>7200</v>
      </c>
      <c r="H44" s="65">
        <v>0</v>
      </c>
      <c r="I44" s="65">
        <v>0</v>
      </c>
      <c r="J44" s="156">
        <v>5300</v>
      </c>
      <c r="K44" s="11">
        <v>5300</v>
      </c>
    </row>
    <row r="45" spans="1:11" x14ac:dyDescent="0.25">
      <c r="A45" s="35" t="s">
        <v>106</v>
      </c>
      <c r="B45" s="65">
        <v>12000</v>
      </c>
      <c r="C45" s="65">
        <v>4200</v>
      </c>
      <c r="D45" s="65">
        <v>0</v>
      </c>
      <c r="E45" s="65">
        <v>4200</v>
      </c>
      <c r="F45" s="72">
        <f t="shared" ref="F45:F47" si="0">+B45*0.7</f>
        <v>8400</v>
      </c>
      <c r="G45" s="72">
        <f t="shared" ref="G45:G47" si="1">+B45*0.6</f>
        <v>7200</v>
      </c>
      <c r="H45" s="65">
        <v>0</v>
      </c>
      <c r="I45" s="65">
        <v>0</v>
      </c>
      <c r="J45" s="156">
        <v>5300</v>
      </c>
      <c r="K45" s="11">
        <v>5300</v>
      </c>
    </row>
    <row r="46" spans="1:11" x14ac:dyDescent="0.25">
      <c r="A46" s="35" t="s">
        <v>107</v>
      </c>
      <c r="B46" s="65">
        <v>12000</v>
      </c>
      <c r="C46" s="65">
        <v>4200</v>
      </c>
      <c r="D46" s="65">
        <v>0</v>
      </c>
      <c r="E46" s="65">
        <v>4200</v>
      </c>
      <c r="F46" s="72">
        <f t="shared" si="0"/>
        <v>8400</v>
      </c>
      <c r="G46" s="72">
        <f t="shared" si="1"/>
        <v>7200</v>
      </c>
      <c r="H46" s="65">
        <v>0</v>
      </c>
      <c r="I46" s="65">
        <v>0</v>
      </c>
      <c r="J46" s="156">
        <v>5300</v>
      </c>
      <c r="K46" s="11">
        <v>5300</v>
      </c>
    </row>
    <row r="47" spans="1:11" ht="15.75" thickBot="1" x14ac:dyDescent="0.3">
      <c r="A47" s="35" t="s">
        <v>108</v>
      </c>
      <c r="B47" s="65">
        <v>12000</v>
      </c>
      <c r="C47" s="65">
        <v>4200</v>
      </c>
      <c r="D47" s="65">
        <v>0</v>
      </c>
      <c r="E47" s="65">
        <v>4200</v>
      </c>
      <c r="F47" s="72">
        <f t="shared" si="0"/>
        <v>8400</v>
      </c>
      <c r="G47" s="72">
        <f t="shared" si="1"/>
        <v>7200</v>
      </c>
      <c r="H47" s="65">
        <v>0</v>
      </c>
      <c r="I47" s="65">
        <v>0</v>
      </c>
      <c r="J47" s="156">
        <v>5300</v>
      </c>
      <c r="K47" s="62">
        <v>5300</v>
      </c>
    </row>
    <row r="48" spans="1:11" ht="15" customHeight="1" thickBot="1" x14ac:dyDescent="0.3">
      <c r="A48" s="36" t="s">
        <v>3</v>
      </c>
      <c r="B48" s="114"/>
      <c r="C48" s="115"/>
      <c r="D48" s="115"/>
      <c r="E48" s="116"/>
      <c r="F48" s="68" t="s">
        <v>94</v>
      </c>
      <c r="G48" s="68" t="s">
        <v>95</v>
      </c>
      <c r="H48" s="69" t="s">
        <v>96</v>
      </c>
      <c r="I48" s="69" t="s">
        <v>124</v>
      </c>
    </row>
    <row r="49" spans="1:10" ht="15" customHeight="1" x14ac:dyDescent="0.25">
      <c r="A49" s="31" t="s">
        <v>148</v>
      </c>
      <c r="B49" s="71">
        <v>20000</v>
      </c>
      <c r="C49" s="71">
        <v>9500</v>
      </c>
      <c r="D49" s="71">
        <v>9500</v>
      </c>
      <c r="E49" s="71">
        <v>9500</v>
      </c>
      <c r="F49" s="72">
        <f>+B49*0.7</f>
        <v>14000</v>
      </c>
      <c r="G49" s="72">
        <f>+B49*0.6</f>
        <v>12000</v>
      </c>
      <c r="H49" s="65">
        <v>4100</v>
      </c>
      <c r="I49" s="65">
        <v>4100</v>
      </c>
      <c r="J49" s="157"/>
    </row>
    <row r="50" spans="1:10" x14ac:dyDescent="0.25">
      <c r="A50" s="33" t="s">
        <v>109</v>
      </c>
      <c r="B50" s="71">
        <v>15000</v>
      </c>
      <c r="C50" s="71">
        <v>5900</v>
      </c>
      <c r="D50" s="71">
        <v>5900</v>
      </c>
      <c r="E50" s="71">
        <v>5900</v>
      </c>
      <c r="F50" s="72">
        <f t="shared" ref="F50:F55" si="2">+B50*0.7</f>
        <v>10500</v>
      </c>
      <c r="G50" s="72">
        <f t="shared" ref="G50:G55" si="3">+B50*0.6</f>
        <v>9000</v>
      </c>
      <c r="H50" s="65">
        <v>4900</v>
      </c>
      <c r="I50" s="65">
        <v>4900</v>
      </c>
      <c r="J50" s="157"/>
    </row>
    <row r="51" spans="1:10" x14ac:dyDescent="0.25">
      <c r="A51" s="33" t="s">
        <v>110</v>
      </c>
      <c r="B51" s="71">
        <v>15000</v>
      </c>
      <c r="C51" s="71">
        <v>5800</v>
      </c>
      <c r="D51" s="71">
        <v>5800</v>
      </c>
      <c r="E51" s="71">
        <v>5800</v>
      </c>
      <c r="F51" s="72">
        <f t="shared" si="2"/>
        <v>10500</v>
      </c>
      <c r="G51" s="72">
        <f t="shared" si="3"/>
        <v>9000</v>
      </c>
      <c r="H51" s="65">
        <v>3400</v>
      </c>
      <c r="I51" s="65">
        <v>3400</v>
      </c>
    </row>
    <row r="52" spans="1:10" x14ac:dyDescent="0.25">
      <c r="A52" s="33" t="s">
        <v>111</v>
      </c>
      <c r="B52" s="71">
        <v>20000</v>
      </c>
      <c r="C52" s="71">
        <v>5800</v>
      </c>
      <c r="D52" s="71">
        <v>5800</v>
      </c>
      <c r="E52" s="71">
        <v>5800</v>
      </c>
      <c r="F52" s="72">
        <f t="shared" si="2"/>
        <v>14000</v>
      </c>
      <c r="G52" s="72">
        <f t="shared" si="3"/>
        <v>12000</v>
      </c>
      <c r="H52" s="65">
        <v>3400</v>
      </c>
      <c r="I52" s="65">
        <v>3400</v>
      </c>
    </row>
    <row r="53" spans="1:10" x14ac:dyDescent="0.25">
      <c r="A53" s="33" t="s">
        <v>112</v>
      </c>
      <c r="B53" s="71">
        <v>20000</v>
      </c>
      <c r="C53" s="71">
        <v>9500</v>
      </c>
      <c r="D53" s="71">
        <v>9500</v>
      </c>
      <c r="E53" s="71">
        <v>9500</v>
      </c>
      <c r="F53" s="72">
        <f t="shared" si="2"/>
        <v>14000</v>
      </c>
      <c r="G53" s="72">
        <f t="shared" si="3"/>
        <v>12000</v>
      </c>
      <c r="H53" s="65">
        <v>3400</v>
      </c>
      <c r="I53" s="65">
        <v>3400</v>
      </c>
    </row>
    <row r="54" spans="1:10" x14ac:dyDescent="0.25">
      <c r="A54" s="33" t="s">
        <v>113</v>
      </c>
      <c r="B54" s="71">
        <v>20000</v>
      </c>
      <c r="C54" s="71">
        <v>9500</v>
      </c>
      <c r="D54" s="71">
        <v>9500</v>
      </c>
      <c r="E54" s="71">
        <v>9500</v>
      </c>
      <c r="F54" s="72">
        <f t="shared" si="2"/>
        <v>14000</v>
      </c>
      <c r="G54" s="72">
        <f t="shared" si="3"/>
        <v>12000</v>
      </c>
      <c r="H54" s="65">
        <v>3400</v>
      </c>
      <c r="I54" s="65">
        <v>3400</v>
      </c>
    </row>
    <row r="55" spans="1:10" ht="15.75" thickBot="1" x14ac:dyDescent="0.3">
      <c r="A55" s="33" t="s">
        <v>114</v>
      </c>
      <c r="B55" s="71">
        <v>20000</v>
      </c>
      <c r="C55" s="71">
        <v>13800</v>
      </c>
      <c r="D55" s="71">
        <v>13800</v>
      </c>
      <c r="E55" s="71">
        <v>13800</v>
      </c>
      <c r="F55" s="72">
        <f t="shared" si="2"/>
        <v>14000</v>
      </c>
      <c r="G55" s="72">
        <f t="shared" si="3"/>
        <v>12000</v>
      </c>
      <c r="H55" s="65">
        <v>5700</v>
      </c>
      <c r="I55" s="65">
        <v>5700</v>
      </c>
    </row>
    <row r="56" spans="1:10" ht="15.75" customHeight="1" thickBot="1" x14ac:dyDescent="0.3">
      <c r="A56" s="3" t="s">
        <v>28</v>
      </c>
      <c r="B56" s="114"/>
      <c r="C56" s="115"/>
      <c r="D56" s="115"/>
      <c r="E56" s="116"/>
      <c r="F56" s="68" t="s">
        <v>94</v>
      </c>
      <c r="G56" s="68" t="s">
        <v>95</v>
      </c>
      <c r="H56" s="69" t="s">
        <v>96</v>
      </c>
      <c r="I56" s="69" t="s">
        <v>124</v>
      </c>
    </row>
    <row r="57" spans="1:10" ht="15.75" thickBot="1" x14ac:dyDescent="0.3">
      <c r="A57" s="9" t="s">
        <v>115</v>
      </c>
      <c r="B57" s="71">
        <v>15000</v>
      </c>
      <c r="C57" s="65">
        <v>7800</v>
      </c>
      <c r="D57" s="65">
        <v>7800</v>
      </c>
      <c r="E57" s="65">
        <v>7800</v>
      </c>
      <c r="F57" s="73">
        <v>9000</v>
      </c>
      <c r="G57" s="73">
        <v>7500</v>
      </c>
      <c r="H57" s="65">
        <v>2700</v>
      </c>
      <c r="I57" s="65">
        <v>0</v>
      </c>
    </row>
    <row r="58" spans="1:10" ht="15" customHeight="1" thickBot="1" x14ac:dyDescent="0.3">
      <c r="A58" s="1" t="s">
        <v>116</v>
      </c>
      <c r="B58" s="114"/>
      <c r="C58" s="115"/>
      <c r="D58" s="115"/>
      <c r="E58" s="116"/>
      <c r="F58" s="68" t="s">
        <v>94</v>
      </c>
      <c r="G58" s="68" t="s">
        <v>95</v>
      </c>
      <c r="H58" s="69" t="s">
        <v>96</v>
      </c>
      <c r="I58" s="69" t="s">
        <v>124</v>
      </c>
    </row>
    <row r="59" spans="1:10" ht="15" customHeight="1" thickBot="1" x14ac:dyDescent="0.3">
      <c r="A59" s="37" t="s">
        <v>117</v>
      </c>
      <c r="B59" s="65">
        <v>12000</v>
      </c>
      <c r="C59" s="65">
        <v>6400</v>
      </c>
      <c r="D59" s="65">
        <v>6400</v>
      </c>
      <c r="E59" s="65">
        <v>6400</v>
      </c>
      <c r="F59" s="73">
        <f>+B59*0.7</f>
        <v>8400</v>
      </c>
      <c r="G59" s="73">
        <f>+B59*0.6</f>
        <v>7200</v>
      </c>
      <c r="H59" s="65">
        <v>3900</v>
      </c>
      <c r="I59" s="65">
        <v>2700</v>
      </c>
    </row>
    <row r="60" spans="1:10" ht="15.75" customHeight="1" thickBot="1" x14ac:dyDescent="0.3">
      <c r="A60" s="3" t="s">
        <v>118</v>
      </c>
      <c r="B60" s="114"/>
      <c r="C60" s="115"/>
      <c r="D60" s="115"/>
      <c r="E60" s="116"/>
      <c r="F60" s="68" t="s">
        <v>94</v>
      </c>
      <c r="G60" s="68" t="s">
        <v>95</v>
      </c>
      <c r="H60" s="69" t="s">
        <v>96</v>
      </c>
      <c r="I60" s="69" t="s">
        <v>124</v>
      </c>
    </row>
    <row r="61" spans="1:10" x14ac:dyDescent="0.25">
      <c r="A61" s="34" t="s">
        <v>21</v>
      </c>
      <c r="B61" s="65">
        <v>20000</v>
      </c>
      <c r="C61" s="117">
        <v>10200</v>
      </c>
      <c r="D61" s="117">
        <v>10200</v>
      </c>
      <c r="E61" s="117">
        <v>10200</v>
      </c>
      <c r="F61" s="73">
        <f>+B61*0.7</f>
        <v>14000</v>
      </c>
      <c r="G61" s="73">
        <f>+B61*0.6</f>
        <v>12000</v>
      </c>
      <c r="H61" s="65">
        <v>5500</v>
      </c>
      <c r="I61" s="65">
        <v>5500</v>
      </c>
    </row>
    <row r="62" spans="1:10" x14ac:dyDescent="0.25">
      <c r="A62" s="35" t="s">
        <v>22</v>
      </c>
      <c r="B62" s="65">
        <v>30000</v>
      </c>
      <c r="C62" s="117">
        <v>15900</v>
      </c>
      <c r="D62" s="117">
        <v>15900</v>
      </c>
      <c r="E62" s="117">
        <v>15900</v>
      </c>
      <c r="F62" s="73">
        <f t="shared" ref="F62:F65" si="4">+B62*0.7</f>
        <v>21000</v>
      </c>
      <c r="G62" s="73">
        <f t="shared" ref="G62:G65" si="5">+B62*0.6</f>
        <v>18000</v>
      </c>
      <c r="H62" s="65">
        <v>8400</v>
      </c>
      <c r="I62" s="65">
        <v>8400</v>
      </c>
    </row>
    <row r="63" spans="1:10" x14ac:dyDescent="0.25">
      <c r="A63" s="35" t="s">
        <v>23</v>
      </c>
      <c r="B63" s="65">
        <v>20000</v>
      </c>
      <c r="C63" s="117">
        <v>10000</v>
      </c>
      <c r="D63" s="117">
        <v>10000</v>
      </c>
      <c r="E63" s="117">
        <v>10000</v>
      </c>
      <c r="F63" s="73">
        <f t="shared" si="4"/>
        <v>14000</v>
      </c>
      <c r="G63" s="73">
        <f t="shared" si="5"/>
        <v>12000</v>
      </c>
      <c r="H63" s="65">
        <v>5000</v>
      </c>
      <c r="I63" s="65">
        <v>5000</v>
      </c>
    </row>
    <row r="64" spans="1:10" x14ac:dyDescent="0.25">
      <c r="A64" s="38" t="s">
        <v>24</v>
      </c>
      <c r="B64" s="71">
        <v>30000</v>
      </c>
      <c r="C64" s="117">
        <v>10000</v>
      </c>
      <c r="D64" s="117">
        <v>10000</v>
      </c>
      <c r="E64" s="117">
        <v>10000</v>
      </c>
      <c r="F64" s="73">
        <f t="shared" si="4"/>
        <v>21000</v>
      </c>
      <c r="G64" s="73">
        <f t="shared" si="5"/>
        <v>18000</v>
      </c>
      <c r="H64" s="65">
        <v>5200</v>
      </c>
      <c r="I64" s="65">
        <v>5200</v>
      </c>
    </row>
    <row r="65" spans="1:9" ht="15.75" customHeight="1" thickBot="1" x14ac:dyDescent="0.3">
      <c r="A65" s="27" t="s">
        <v>25</v>
      </c>
      <c r="B65" s="71">
        <v>30000</v>
      </c>
      <c r="C65" s="117">
        <v>12300</v>
      </c>
      <c r="D65" s="117">
        <v>12300</v>
      </c>
      <c r="E65" s="117">
        <v>12300</v>
      </c>
      <c r="F65" s="73">
        <f t="shared" si="4"/>
        <v>21000</v>
      </c>
      <c r="G65" s="73">
        <f t="shared" si="5"/>
        <v>18000</v>
      </c>
      <c r="H65" s="65">
        <v>7900</v>
      </c>
      <c r="I65" s="65">
        <v>7900</v>
      </c>
    </row>
    <row r="66" spans="1:9" ht="15.75" customHeight="1" thickBot="1" x14ac:dyDescent="0.3">
      <c r="A66" s="20" t="s">
        <v>7</v>
      </c>
      <c r="B66" s="74"/>
      <c r="C66" s="74"/>
      <c r="D66" s="74"/>
      <c r="E66" s="74"/>
      <c r="F66" s="74"/>
      <c r="G66" s="74"/>
      <c r="H66" s="74"/>
      <c r="I66" s="74"/>
    </row>
    <row r="67" spans="1:9" ht="15.75" customHeight="1" thickBot="1" x14ac:dyDescent="0.3">
      <c r="A67" s="39" t="s">
        <v>8</v>
      </c>
      <c r="B67" s="114" t="s">
        <v>128</v>
      </c>
      <c r="C67" s="115"/>
      <c r="D67" s="115"/>
      <c r="E67" s="116"/>
      <c r="F67" s="68" t="s">
        <v>94</v>
      </c>
      <c r="G67" s="68" t="s">
        <v>95</v>
      </c>
      <c r="H67" s="69" t="s">
        <v>96</v>
      </c>
      <c r="I67" s="69" t="s">
        <v>124</v>
      </c>
    </row>
    <row r="68" spans="1:9" x14ac:dyDescent="0.25">
      <c r="A68" s="9" t="s">
        <v>119</v>
      </c>
      <c r="B68" s="73">
        <v>111000</v>
      </c>
      <c r="C68" s="65">
        <v>83700</v>
      </c>
      <c r="D68" s="65">
        <v>83700</v>
      </c>
      <c r="E68" s="65">
        <v>83700</v>
      </c>
      <c r="F68" s="73">
        <f>+B68*0.7</f>
        <v>77700</v>
      </c>
      <c r="G68" s="73">
        <f>+B68*0.6</f>
        <v>66600</v>
      </c>
      <c r="H68" s="65">
        <v>46700</v>
      </c>
      <c r="I68" s="65">
        <v>46700</v>
      </c>
    </row>
    <row r="69" spans="1:9" ht="15.75" thickBot="1" x14ac:dyDescent="0.3">
      <c r="A69" s="57" t="s">
        <v>146</v>
      </c>
      <c r="B69" s="118">
        <v>51000</v>
      </c>
      <c r="C69" s="119">
        <v>51000</v>
      </c>
      <c r="D69" s="119">
        <v>51000</v>
      </c>
      <c r="E69" s="120">
        <v>51000</v>
      </c>
      <c r="F69" s="73">
        <f>+B69*0.7</f>
        <v>35700</v>
      </c>
      <c r="G69" s="73">
        <f>+B69*0.6</f>
        <v>30600</v>
      </c>
      <c r="H69" s="75">
        <v>21300</v>
      </c>
      <c r="I69" s="65">
        <v>21300</v>
      </c>
    </row>
    <row r="70" spans="1:9" ht="15" customHeight="1" thickBot="1" x14ac:dyDescent="0.3">
      <c r="A70" s="39" t="s">
        <v>234</v>
      </c>
      <c r="B70" s="114" t="s">
        <v>128</v>
      </c>
      <c r="C70" s="115"/>
      <c r="D70" s="115"/>
      <c r="E70" s="116"/>
      <c r="F70" s="68" t="s">
        <v>94</v>
      </c>
      <c r="G70" s="68" t="s">
        <v>95</v>
      </c>
      <c r="H70" s="69" t="s">
        <v>96</v>
      </c>
      <c r="I70" s="76" t="s">
        <v>124</v>
      </c>
    </row>
    <row r="71" spans="1:9" ht="15" customHeight="1" x14ac:dyDescent="0.25">
      <c r="A71" s="9" t="s">
        <v>120</v>
      </c>
      <c r="B71" s="73">
        <v>241000</v>
      </c>
      <c r="C71" s="65">
        <v>165000</v>
      </c>
      <c r="D71" s="65">
        <v>165000</v>
      </c>
      <c r="E71" s="65">
        <v>165000</v>
      </c>
      <c r="F71" s="73">
        <f>+B71*0.7</f>
        <v>168700</v>
      </c>
      <c r="G71" s="73">
        <f>+B71*0.6</f>
        <v>144600</v>
      </c>
      <c r="H71" s="65">
        <v>76000</v>
      </c>
      <c r="I71" s="65">
        <v>76000</v>
      </c>
    </row>
    <row r="72" spans="1:9" ht="15" customHeight="1" thickBot="1" x14ac:dyDescent="0.3">
      <c r="A72" s="57" t="s">
        <v>147</v>
      </c>
      <c r="B72" s="118">
        <v>68000</v>
      </c>
      <c r="C72" s="119">
        <v>68000</v>
      </c>
      <c r="D72" s="119">
        <v>68000</v>
      </c>
      <c r="E72" s="120">
        <v>68000</v>
      </c>
      <c r="F72" s="73">
        <f>+B72*0.7</f>
        <v>47600</v>
      </c>
      <c r="G72" s="73">
        <f t="shared" ref="G72:G99" si="6">+B72*0.6</f>
        <v>40800</v>
      </c>
      <c r="H72" s="75">
        <v>48000</v>
      </c>
      <c r="I72" s="75">
        <v>48000</v>
      </c>
    </row>
    <row r="73" spans="1:9" ht="15" customHeight="1" thickBot="1" x14ac:dyDescent="0.3">
      <c r="A73" s="5" t="s">
        <v>233</v>
      </c>
      <c r="B73" s="114" t="s">
        <v>128</v>
      </c>
      <c r="C73" s="115"/>
      <c r="D73" s="115"/>
      <c r="E73" s="116"/>
      <c r="F73" s="68" t="s">
        <v>94</v>
      </c>
      <c r="G73" s="68" t="s">
        <v>95</v>
      </c>
      <c r="H73" s="69" t="s">
        <v>96</v>
      </c>
      <c r="I73" s="69" t="s">
        <v>124</v>
      </c>
    </row>
    <row r="74" spans="1:9" ht="15" customHeight="1" thickBot="1" x14ac:dyDescent="0.3">
      <c r="A74" s="6" t="s">
        <v>120</v>
      </c>
      <c r="B74" s="73">
        <v>551000</v>
      </c>
      <c r="C74" s="65">
        <v>418000</v>
      </c>
      <c r="D74" s="65">
        <v>418000</v>
      </c>
      <c r="E74" s="65">
        <v>418000</v>
      </c>
      <c r="F74" s="73">
        <f t="shared" ref="F74:F99" si="7">+B74*0.7</f>
        <v>385700</v>
      </c>
      <c r="G74" s="73">
        <f t="shared" si="6"/>
        <v>330600</v>
      </c>
      <c r="H74" s="65">
        <v>209000</v>
      </c>
      <c r="I74" s="65">
        <v>209000</v>
      </c>
    </row>
    <row r="75" spans="1:9" ht="15" customHeight="1" thickBot="1" x14ac:dyDescent="0.3">
      <c r="A75" s="59" t="s">
        <v>146</v>
      </c>
      <c r="B75" s="118">
        <v>132000</v>
      </c>
      <c r="C75" s="119">
        <v>132000</v>
      </c>
      <c r="D75" s="119">
        <v>132000</v>
      </c>
      <c r="E75" s="120">
        <v>132000</v>
      </c>
      <c r="F75" s="73">
        <f t="shared" si="7"/>
        <v>92400</v>
      </c>
      <c r="G75" s="73">
        <f t="shared" si="6"/>
        <v>79200</v>
      </c>
      <c r="H75" s="75">
        <v>75000</v>
      </c>
      <c r="I75" s="75">
        <v>75000</v>
      </c>
    </row>
    <row r="76" spans="1:9" ht="15" customHeight="1" thickBot="1" x14ac:dyDescent="0.3">
      <c r="A76" s="40" t="s">
        <v>234</v>
      </c>
      <c r="B76" s="114" t="s">
        <v>128</v>
      </c>
      <c r="C76" s="115"/>
      <c r="D76" s="115"/>
      <c r="E76" s="116"/>
      <c r="F76" s="68" t="s">
        <v>94</v>
      </c>
      <c r="G76" s="68" t="s">
        <v>95</v>
      </c>
      <c r="H76" s="69" t="s">
        <v>96</v>
      </c>
      <c r="I76" s="69" t="s">
        <v>124</v>
      </c>
    </row>
    <row r="77" spans="1:9" ht="15" customHeight="1" x14ac:dyDescent="0.25">
      <c r="A77" s="33" t="s">
        <v>119</v>
      </c>
      <c r="B77" s="73">
        <v>962000</v>
      </c>
      <c r="C77" s="65">
        <v>706000</v>
      </c>
      <c r="D77" s="65">
        <v>706000</v>
      </c>
      <c r="E77" s="65">
        <v>706000</v>
      </c>
      <c r="F77" s="73">
        <f t="shared" si="7"/>
        <v>673400</v>
      </c>
      <c r="G77" s="73">
        <f t="shared" si="6"/>
        <v>577200</v>
      </c>
      <c r="H77" s="65">
        <v>464000</v>
      </c>
      <c r="I77" s="65">
        <v>464000</v>
      </c>
    </row>
    <row r="78" spans="1:9" ht="15" customHeight="1" thickBot="1" x14ac:dyDescent="0.3">
      <c r="A78" s="7" t="s">
        <v>147</v>
      </c>
      <c r="B78" s="118">
        <v>203000</v>
      </c>
      <c r="C78" s="119">
        <v>203000</v>
      </c>
      <c r="D78" s="119">
        <v>203000</v>
      </c>
      <c r="E78" s="120">
        <v>203000</v>
      </c>
      <c r="F78" s="73">
        <f t="shared" si="7"/>
        <v>142100</v>
      </c>
      <c r="G78" s="73">
        <f t="shared" si="6"/>
        <v>121800</v>
      </c>
      <c r="H78" s="75">
        <v>139000</v>
      </c>
      <c r="I78" s="75">
        <v>139000</v>
      </c>
    </row>
    <row r="79" spans="1:9" ht="15.75" customHeight="1" thickBot="1" x14ac:dyDescent="0.3">
      <c r="A79" s="41" t="s">
        <v>9</v>
      </c>
      <c r="B79" s="114"/>
      <c r="C79" s="115"/>
      <c r="D79" s="115"/>
      <c r="E79" s="116"/>
      <c r="F79" s="68" t="s">
        <v>94</v>
      </c>
      <c r="G79" s="68" t="s">
        <v>95</v>
      </c>
      <c r="H79" s="69" t="s">
        <v>96</v>
      </c>
      <c r="I79" s="69" t="s">
        <v>124</v>
      </c>
    </row>
    <row r="80" spans="1:9" x14ac:dyDescent="0.25">
      <c r="A80" s="34" t="s">
        <v>10</v>
      </c>
      <c r="B80" s="70">
        <v>176000</v>
      </c>
      <c r="C80" s="65">
        <v>176000</v>
      </c>
      <c r="D80" s="65">
        <v>176000</v>
      </c>
      <c r="E80" s="65">
        <v>176000</v>
      </c>
      <c r="F80" s="73">
        <f t="shared" si="7"/>
        <v>123199.99999999999</v>
      </c>
      <c r="G80" s="73">
        <f t="shared" si="6"/>
        <v>105600</v>
      </c>
      <c r="H80" s="65">
        <v>176000</v>
      </c>
      <c r="I80" s="65">
        <v>176000</v>
      </c>
    </row>
    <row r="81" spans="1:9" x14ac:dyDescent="0.25">
      <c r="A81" s="42" t="s">
        <v>11</v>
      </c>
      <c r="B81" s="70">
        <v>233000</v>
      </c>
      <c r="C81" s="65">
        <v>233000</v>
      </c>
      <c r="D81" s="65">
        <v>233000</v>
      </c>
      <c r="E81" s="65">
        <v>233000</v>
      </c>
      <c r="F81" s="73">
        <f t="shared" si="7"/>
        <v>163100</v>
      </c>
      <c r="G81" s="73">
        <f t="shared" si="6"/>
        <v>139800</v>
      </c>
      <c r="H81" s="65">
        <v>233000</v>
      </c>
      <c r="I81" s="65">
        <v>233000</v>
      </c>
    </row>
    <row r="82" spans="1:9" x14ac:dyDescent="0.25">
      <c r="A82" s="4" t="s">
        <v>145</v>
      </c>
      <c r="B82" s="70">
        <v>41000</v>
      </c>
      <c r="C82" s="65">
        <v>41000</v>
      </c>
      <c r="D82" s="65">
        <v>41000</v>
      </c>
      <c r="E82" s="65">
        <v>41000</v>
      </c>
      <c r="F82" s="73">
        <f t="shared" si="7"/>
        <v>28699.999999999996</v>
      </c>
      <c r="G82" s="73">
        <f t="shared" si="6"/>
        <v>24600</v>
      </c>
      <c r="H82" s="65">
        <v>41000</v>
      </c>
      <c r="I82" s="65">
        <v>41000</v>
      </c>
    </row>
    <row r="83" spans="1:9" ht="15.75" thickBot="1" x14ac:dyDescent="0.3">
      <c r="A83" s="43" t="s">
        <v>12</v>
      </c>
      <c r="B83" s="70">
        <v>7700</v>
      </c>
      <c r="C83" s="65">
        <v>7700</v>
      </c>
      <c r="D83" s="65">
        <v>7700</v>
      </c>
      <c r="E83" s="65">
        <v>7700</v>
      </c>
      <c r="F83" s="73">
        <f t="shared" si="7"/>
        <v>5390</v>
      </c>
      <c r="G83" s="73">
        <f t="shared" si="6"/>
        <v>4620</v>
      </c>
      <c r="H83" s="65">
        <v>7700</v>
      </c>
      <c r="I83" s="65">
        <v>7700</v>
      </c>
    </row>
    <row r="84" spans="1:9" ht="16.5" thickBot="1" x14ac:dyDescent="0.3">
      <c r="A84" s="20" t="s">
        <v>150</v>
      </c>
      <c r="B84" s="114"/>
      <c r="C84" s="115"/>
      <c r="D84" s="115"/>
      <c r="E84" s="116"/>
      <c r="F84" s="68" t="s">
        <v>94</v>
      </c>
      <c r="G84" s="68" t="s">
        <v>95</v>
      </c>
      <c r="H84" s="69" t="s">
        <v>96</v>
      </c>
      <c r="I84" s="69" t="s">
        <v>124</v>
      </c>
    </row>
    <row r="85" spans="1:9" ht="15.75" thickBot="1" x14ac:dyDescent="0.3">
      <c r="A85" s="44" t="s">
        <v>40</v>
      </c>
      <c r="B85" s="78">
        <v>64600</v>
      </c>
      <c r="C85" s="78"/>
      <c r="D85" s="78"/>
      <c r="E85" s="78"/>
      <c r="F85" s="77"/>
      <c r="G85" s="77"/>
      <c r="H85" s="78"/>
      <c r="I85" s="78"/>
    </row>
    <row r="86" spans="1:9" ht="15" customHeight="1" x14ac:dyDescent="0.25">
      <c r="A86" s="60" t="s">
        <v>30</v>
      </c>
      <c r="B86" s="114" t="s">
        <v>128</v>
      </c>
      <c r="C86" s="115"/>
      <c r="D86" s="115"/>
      <c r="E86" s="116"/>
      <c r="F86" s="68" t="s">
        <v>94</v>
      </c>
      <c r="G86" s="68" t="s">
        <v>95</v>
      </c>
      <c r="H86" s="69" t="s">
        <v>96</v>
      </c>
      <c r="I86" s="69" t="s">
        <v>124</v>
      </c>
    </row>
    <row r="87" spans="1:9" x14ac:dyDescent="0.25">
      <c r="A87" s="45" t="s">
        <v>232</v>
      </c>
      <c r="B87" s="73">
        <v>97000</v>
      </c>
      <c r="C87" s="65">
        <v>57000</v>
      </c>
      <c r="D87" s="65">
        <v>57000</v>
      </c>
      <c r="E87" s="65">
        <v>57000</v>
      </c>
      <c r="F87" s="73">
        <f t="shared" si="7"/>
        <v>67900</v>
      </c>
      <c r="G87" s="73">
        <f>+B87*0.6</f>
        <v>58200</v>
      </c>
      <c r="H87" s="65">
        <v>23500</v>
      </c>
      <c r="I87" s="65">
        <v>23500</v>
      </c>
    </row>
    <row r="88" spans="1:9" x14ac:dyDescent="0.25">
      <c r="A88" s="45" t="s">
        <v>121</v>
      </c>
      <c r="B88" s="73">
        <v>282000</v>
      </c>
      <c r="C88" s="65">
        <v>168000</v>
      </c>
      <c r="D88" s="65">
        <v>168000</v>
      </c>
      <c r="E88" s="65">
        <v>168000</v>
      </c>
      <c r="F88" s="73">
        <f t="shared" si="7"/>
        <v>197400</v>
      </c>
      <c r="G88" s="73">
        <f>+B88*0.6</f>
        <v>169200</v>
      </c>
      <c r="H88" s="65">
        <v>72000</v>
      </c>
      <c r="I88" s="65">
        <v>72000</v>
      </c>
    </row>
    <row r="89" spans="1:9" x14ac:dyDescent="0.25">
      <c r="A89" s="45" t="s">
        <v>143</v>
      </c>
      <c r="B89" s="73">
        <v>256000</v>
      </c>
      <c r="C89" s="65">
        <v>140000</v>
      </c>
      <c r="D89" s="65">
        <v>140000</v>
      </c>
      <c r="E89" s="65">
        <v>140000</v>
      </c>
      <c r="F89" s="73">
        <f t="shared" si="7"/>
        <v>179200</v>
      </c>
      <c r="G89" s="73">
        <f t="shared" si="6"/>
        <v>153600</v>
      </c>
      <c r="H89" s="65">
        <v>62000</v>
      </c>
      <c r="I89" s="65">
        <v>62000</v>
      </c>
    </row>
    <row r="90" spans="1:9" x14ac:dyDescent="0.25">
      <c r="A90" s="45" t="s">
        <v>122</v>
      </c>
      <c r="B90" s="73">
        <v>508000</v>
      </c>
      <c r="C90" s="65">
        <v>287000</v>
      </c>
      <c r="D90" s="65">
        <v>287000</v>
      </c>
      <c r="E90" s="65">
        <v>287000</v>
      </c>
      <c r="F90" s="73">
        <f t="shared" si="7"/>
        <v>355600</v>
      </c>
      <c r="G90" s="73">
        <f t="shared" si="6"/>
        <v>304800</v>
      </c>
      <c r="H90" s="65">
        <v>124000</v>
      </c>
      <c r="I90" s="65">
        <v>1240000</v>
      </c>
    </row>
    <row r="91" spans="1:9" ht="15.75" thickBot="1" x14ac:dyDescent="0.3">
      <c r="A91" s="123" t="s">
        <v>144</v>
      </c>
      <c r="B91" s="124">
        <v>8200</v>
      </c>
      <c r="C91" s="110">
        <v>6200</v>
      </c>
      <c r="D91" s="110">
        <v>6200</v>
      </c>
      <c r="E91" s="110">
        <v>6200</v>
      </c>
      <c r="F91" s="124">
        <f t="shared" si="7"/>
        <v>5740</v>
      </c>
      <c r="G91" s="124">
        <f t="shared" si="6"/>
        <v>4920</v>
      </c>
      <c r="H91" s="110">
        <v>2500</v>
      </c>
      <c r="I91" s="110">
        <v>2500</v>
      </c>
    </row>
    <row r="92" spans="1:9" ht="15" customHeight="1" thickBot="1" x14ac:dyDescent="0.3">
      <c r="A92" s="20" t="s">
        <v>33</v>
      </c>
      <c r="B92" s="114" t="s">
        <v>128</v>
      </c>
      <c r="C92" s="127"/>
      <c r="D92" s="127"/>
      <c r="E92" s="128"/>
      <c r="F92" s="129" t="s">
        <v>94</v>
      </c>
      <c r="G92" s="129" t="s">
        <v>95</v>
      </c>
      <c r="H92" s="130" t="s">
        <v>96</v>
      </c>
      <c r="I92" s="130" t="s">
        <v>124</v>
      </c>
    </row>
    <row r="93" spans="1:9" x14ac:dyDescent="0.25">
      <c r="A93" s="47" t="s">
        <v>29</v>
      </c>
      <c r="B93" s="125"/>
      <c r="C93" s="125"/>
      <c r="D93" s="125"/>
      <c r="E93" s="125"/>
      <c r="F93" s="126">
        <f t="shared" si="7"/>
        <v>0</v>
      </c>
      <c r="G93" s="126">
        <f t="shared" si="6"/>
        <v>0</v>
      </c>
      <c r="H93" s="125"/>
      <c r="I93" s="125"/>
    </row>
    <row r="94" spans="1:9" ht="15" customHeight="1" x14ac:dyDescent="0.25">
      <c r="A94" s="46" t="s">
        <v>31</v>
      </c>
      <c r="B94" s="73">
        <v>104000</v>
      </c>
      <c r="C94" s="65">
        <v>94000</v>
      </c>
      <c r="D94" s="65">
        <v>94000</v>
      </c>
      <c r="E94" s="65">
        <v>94000</v>
      </c>
      <c r="F94" s="73">
        <f t="shared" si="7"/>
        <v>72800</v>
      </c>
      <c r="G94" s="73">
        <f t="shared" si="6"/>
        <v>62400</v>
      </c>
      <c r="H94" s="65">
        <v>41600</v>
      </c>
      <c r="I94" s="65">
        <v>41600</v>
      </c>
    </row>
    <row r="95" spans="1:9" ht="15" customHeight="1" thickBot="1" x14ac:dyDescent="0.3">
      <c r="A95" s="46" t="s">
        <v>32</v>
      </c>
      <c r="B95" s="73">
        <v>144750</v>
      </c>
      <c r="C95" s="65">
        <v>106000</v>
      </c>
      <c r="D95" s="65">
        <v>106000</v>
      </c>
      <c r="E95" s="65">
        <v>106000</v>
      </c>
      <c r="F95" s="73">
        <f t="shared" si="7"/>
        <v>101325</v>
      </c>
      <c r="G95" s="73">
        <f t="shared" si="6"/>
        <v>86850</v>
      </c>
      <c r="H95" s="65">
        <v>57900</v>
      </c>
      <c r="I95" s="65">
        <v>57900</v>
      </c>
    </row>
    <row r="96" spans="1:9" ht="15.75" x14ac:dyDescent="0.25">
      <c r="A96" s="48" t="s">
        <v>37</v>
      </c>
      <c r="B96" s="114" t="s">
        <v>128</v>
      </c>
      <c r="C96" s="115"/>
      <c r="D96" s="115"/>
      <c r="E96" s="116"/>
      <c r="F96" s="68" t="s">
        <v>94</v>
      </c>
      <c r="G96" s="68" t="s">
        <v>95</v>
      </c>
      <c r="H96" s="69" t="s">
        <v>96</v>
      </c>
      <c r="I96" s="69" t="s">
        <v>124</v>
      </c>
    </row>
    <row r="97" spans="1:9" x14ac:dyDescent="0.25">
      <c r="A97" s="46" t="s">
        <v>34</v>
      </c>
      <c r="B97" s="73">
        <f>+E97/0.7</f>
        <v>13428.571428571429</v>
      </c>
      <c r="C97" s="65">
        <v>9400</v>
      </c>
      <c r="D97" s="65">
        <v>9400</v>
      </c>
      <c r="E97" s="65">
        <v>9400</v>
      </c>
      <c r="F97" s="73">
        <f t="shared" si="7"/>
        <v>9400</v>
      </c>
      <c r="G97" s="73">
        <f t="shared" si="6"/>
        <v>8057.1428571428569</v>
      </c>
      <c r="H97" s="77">
        <f>+B97*0.4</f>
        <v>5371.4285714285725</v>
      </c>
      <c r="I97" s="65"/>
    </row>
    <row r="98" spans="1:9" x14ac:dyDescent="0.25">
      <c r="A98" s="45" t="s">
        <v>35</v>
      </c>
      <c r="B98" s="73">
        <f t="shared" ref="B98:B99" si="8">+E98/0.7</f>
        <v>19714.285714285714</v>
      </c>
      <c r="C98" s="65">
        <v>13800</v>
      </c>
      <c r="D98" s="65">
        <v>13800</v>
      </c>
      <c r="E98" s="65">
        <v>13800</v>
      </c>
      <c r="F98" s="73">
        <f t="shared" si="7"/>
        <v>13799.999999999998</v>
      </c>
      <c r="G98" s="73">
        <f t="shared" si="6"/>
        <v>11828.571428571428</v>
      </c>
      <c r="H98" s="77">
        <f t="shared" ref="H98:H99" si="9">+B98*0.4</f>
        <v>7885.7142857142862</v>
      </c>
      <c r="I98" s="65"/>
    </row>
    <row r="99" spans="1:9" ht="15.75" thickBot="1" x14ac:dyDescent="0.3">
      <c r="A99" s="46" t="s">
        <v>36</v>
      </c>
      <c r="B99" s="73">
        <f t="shared" si="8"/>
        <v>19714.285714285714</v>
      </c>
      <c r="C99" s="65">
        <v>13800</v>
      </c>
      <c r="D99" s="65">
        <v>13800</v>
      </c>
      <c r="E99" s="65">
        <v>13800</v>
      </c>
      <c r="F99" s="73">
        <f t="shared" si="7"/>
        <v>13799.999999999998</v>
      </c>
      <c r="G99" s="73">
        <f t="shared" si="6"/>
        <v>11828.571428571428</v>
      </c>
      <c r="H99" s="77">
        <f t="shared" si="9"/>
        <v>7885.7142857142862</v>
      </c>
      <c r="I99" s="65"/>
    </row>
    <row r="100" spans="1:9" ht="15.75" customHeight="1" thickBot="1" x14ac:dyDescent="0.3">
      <c r="A100" s="20" t="s">
        <v>26</v>
      </c>
      <c r="B100" s="114" t="s">
        <v>128</v>
      </c>
      <c r="C100" s="115"/>
      <c r="D100" s="115"/>
      <c r="E100" s="116"/>
      <c r="F100" s="68" t="s">
        <v>94</v>
      </c>
      <c r="G100" s="68" t="s">
        <v>95</v>
      </c>
      <c r="H100" s="69" t="s">
        <v>96</v>
      </c>
      <c r="I100" s="69" t="s">
        <v>124</v>
      </c>
    </row>
    <row r="101" spans="1:9" ht="15.75" customHeight="1" x14ac:dyDescent="0.25">
      <c r="A101" s="49" t="s">
        <v>44</v>
      </c>
      <c r="B101" s="73">
        <v>55600</v>
      </c>
      <c r="C101" s="65">
        <v>38700</v>
      </c>
      <c r="D101" s="65">
        <v>38700</v>
      </c>
      <c r="E101" s="65">
        <v>38700</v>
      </c>
      <c r="F101" s="73">
        <f>+B101*0.7</f>
        <v>38920</v>
      </c>
      <c r="G101" s="73">
        <f>+B101*0.6</f>
        <v>33360</v>
      </c>
      <c r="H101" s="65">
        <v>26800</v>
      </c>
      <c r="I101" s="65">
        <v>26800</v>
      </c>
    </row>
    <row r="102" spans="1:9" ht="15.75" thickBot="1" x14ac:dyDescent="0.3">
      <c r="A102" s="50" t="s">
        <v>45</v>
      </c>
      <c r="B102" s="73">
        <v>13900</v>
      </c>
      <c r="C102" s="65">
        <v>13900</v>
      </c>
      <c r="D102" s="65">
        <v>13900</v>
      </c>
      <c r="E102" s="65">
        <v>13900</v>
      </c>
      <c r="F102" s="73">
        <f>+B102*0.7</f>
        <v>9730</v>
      </c>
      <c r="G102" s="73">
        <f>+B102*0.6</f>
        <v>8340</v>
      </c>
      <c r="H102" s="79">
        <v>13900</v>
      </c>
      <c r="I102" s="65">
        <v>13600</v>
      </c>
    </row>
    <row r="103" spans="1:9" ht="16.5" thickBot="1" x14ac:dyDescent="0.3">
      <c r="A103" s="51" t="s">
        <v>69</v>
      </c>
      <c r="B103" s="80"/>
      <c r="C103" s="80"/>
      <c r="D103" s="80"/>
      <c r="E103" s="80"/>
      <c r="F103" s="80"/>
      <c r="G103" s="80"/>
      <c r="H103" s="80"/>
      <c r="I103" s="80"/>
    </row>
    <row r="104" spans="1:9" ht="16.5" thickBot="1" x14ac:dyDescent="0.3">
      <c r="A104" s="54" t="s">
        <v>74</v>
      </c>
      <c r="B104" s="114" t="s">
        <v>149</v>
      </c>
      <c r="C104" s="115"/>
      <c r="D104" s="115"/>
      <c r="E104" s="116"/>
      <c r="F104" s="81" t="s">
        <v>94</v>
      </c>
      <c r="G104" s="81" t="s">
        <v>95</v>
      </c>
      <c r="H104" s="69" t="s">
        <v>96</v>
      </c>
      <c r="I104" s="69" t="s">
        <v>124</v>
      </c>
    </row>
    <row r="105" spans="1:9" ht="15.75" x14ac:dyDescent="0.25">
      <c r="A105" s="13" t="s">
        <v>70</v>
      </c>
      <c r="B105" s="65">
        <v>88886</v>
      </c>
      <c r="C105" s="65">
        <v>44443</v>
      </c>
      <c r="D105" s="65">
        <v>44443</v>
      </c>
      <c r="E105" s="65">
        <v>44443</v>
      </c>
      <c r="F105" s="73">
        <f>+B105*0.7</f>
        <v>62220.2</v>
      </c>
      <c r="G105" s="73">
        <f>+B105*0.6</f>
        <v>53331.6</v>
      </c>
      <c r="H105" s="65">
        <v>24647</v>
      </c>
      <c r="I105" s="65">
        <v>24647</v>
      </c>
    </row>
    <row r="106" spans="1:9" ht="15.75" x14ac:dyDescent="0.25">
      <c r="A106" s="14" t="s">
        <v>71</v>
      </c>
      <c r="B106" s="65">
        <v>103703</v>
      </c>
      <c r="C106" s="65">
        <v>51852</v>
      </c>
      <c r="D106" s="65">
        <v>51852</v>
      </c>
      <c r="E106" s="65">
        <v>51852</v>
      </c>
      <c r="F106" s="73">
        <f t="shared" ref="F106:F130" si="10">+B106*0.7</f>
        <v>72592.099999999991</v>
      </c>
      <c r="G106" s="73">
        <f t="shared" ref="G106:G130" si="11">+B106*0.6</f>
        <v>62221.799999999996</v>
      </c>
      <c r="H106" s="65">
        <v>28755</v>
      </c>
      <c r="I106" s="65">
        <v>28755</v>
      </c>
    </row>
    <row r="107" spans="1:9" ht="15.75" x14ac:dyDescent="0.25">
      <c r="A107" s="14" t="s">
        <v>72</v>
      </c>
      <c r="B107" s="65">
        <v>174729</v>
      </c>
      <c r="C107" s="65">
        <v>87365</v>
      </c>
      <c r="D107" s="65">
        <v>87365</v>
      </c>
      <c r="E107" s="65">
        <v>87365</v>
      </c>
      <c r="F107" s="73">
        <f t="shared" si="10"/>
        <v>122310.29999999999</v>
      </c>
      <c r="G107" s="73">
        <f t="shared" si="11"/>
        <v>104837.4</v>
      </c>
      <c r="H107" s="65">
        <v>48449</v>
      </c>
      <c r="I107" s="65">
        <v>48449</v>
      </c>
    </row>
    <row r="108" spans="1:9" ht="15.75" x14ac:dyDescent="0.25">
      <c r="A108" s="14" t="s">
        <v>73</v>
      </c>
      <c r="B108" s="65">
        <v>22223</v>
      </c>
      <c r="C108" s="65">
        <v>11112</v>
      </c>
      <c r="D108" s="65">
        <v>11112</v>
      </c>
      <c r="E108" s="65">
        <v>11112</v>
      </c>
      <c r="F108" s="73">
        <f t="shared" si="10"/>
        <v>15556.099999999999</v>
      </c>
      <c r="G108" s="73">
        <f t="shared" si="11"/>
        <v>13333.8</v>
      </c>
      <c r="H108" s="65">
        <v>6162</v>
      </c>
      <c r="I108" s="65">
        <v>6162</v>
      </c>
    </row>
    <row r="109" spans="1:9" ht="16.5" thickBot="1" x14ac:dyDescent="0.3">
      <c r="A109" s="15" t="s">
        <v>75</v>
      </c>
      <c r="B109" s="65">
        <v>111110</v>
      </c>
      <c r="C109" s="65">
        <v>55555</v>
      </c>
      <c r="D109" s="65">
        <v>55555</v>
      </c>
      <c r="E109" s="65">
        <v>55555</v>
      </c>
      <c r="F109" s="73">
        <f t="shared" si="10"/>
        <v>77777</v>
      </c>
      <c r="G109" s="73">
        <f t="shared" si="11"/>
        <v>66666</v>
      </c>
      <c r="H109" s="65">
        <v>30809</v>
      </c>
      <c r="I109" s="65">
        <v>30809</v>
      </c>
    </row>
    <row r="110" spans="1:9" ht="16.5" thickBot="1" x14ac:dyDescent="0.3">
      <c r="A110" s="53" t="s">
        <v>139</v>
      </c>
      <c r="B110" s="114" t="s">
        <v>151</v>
      </c>
      <c r="C110" s="115"/>
      <c r="D110" s="115"/>
      <c r="E110" s="116"/>
      <c r="F110" s="81" t="s">
        <v>94</v>
      </c>
      <c r="G110" s="81" t="s">
        <v>95</v>
      </c>
      <c r="H110" s="69" t="s">
        <v>96</v>
      </c>
      <c r="I110" s="69" t="s">
        <v>124</v>
      </c>
    </row>
    <row r="111" spans="1:9" ht="15.75" x14ac:dyDescent="0.25">
      <c r="A111" s="16" t="s">
        <v>140</v>
      </c>
      <c r="B111" s="65">
        <v>312686</v>
      </c>
      <c r="C111" s="65">
        <v>156343</v>
      </c>
      <c r="D111" s="65">
        <v>156343</v>
      </c>
      <c r="E111" s="65">
        <v>156343</v>
      </c>
      <c r="F111" s="73">
        <f t="shared" si="10"/>
        <v>218880.19999999998</v>
      </c>
      <c r="G111" s="73">
        <f t="shared" si="11"/>
        <v>187611.6</v>
      </c>
      <c r="H111" s="65">
        <v>85421</v>
      </c>
      <c r="I111" s="65">
        <v>85421</v>
      </c>
    </row>
    <row r="112" spans="1:9" ht="15.75" x14ac:dyDescent="0.25">
      <c r="A112" s="18" t="s">
        <v>141</v>
      </c>
      <c r="B112" s="65">
        <v>349723</v>
      </c>
      <c r="C112" s="65">
        <v>174861</v>
      </c>
      <c r="D112" s="65">
        <v>174861</v>
      </c>
      <c r="E112" s="65">
        <v>174861</v>
      </c>
      <c r="F112" s="73">
        <f t="shared" si="10"/>
        <v>244806.09999999998</v>
      </c>
      <c r="G112" s="73">
        <f t="shared" si="11"/>
        <v>209833.8</v>
      </c>
      <c r="H112" s="65">
        <v>95539</v>
      </c>
      <c r="I112" s="65">
        <v>95539</v>
      </c>
    </row>
    <row r="113" spans="1:9" ht="16.5" thickBot="1" x14ac:dyDescent="0.3">
      <c r="A113" s="17" t="s">
        <v>142</v>
      </c>
      <c r="B113" s="65">
        <v>446016</v>
      </c>
      <c r="C113" s="65">
        <v>223008</v>
      </c>
      <c r="D113" s="65">
        <v>223008</v>
      </c>
      <c r="E113" s="65">
        <v>223008</v>
      </c>
      <c r="F113" s="73">
        <f t="shared" si="10"/>
        <v>312211.19999999995</v>
      </c>
      <c r="G113" s="73">
        <f t="shared" si="11"/>
        <v>267609.59999999998</v>
      </c>
      <c r="H113" s="65">
        <v>121845</v>
      </c>
      <c r="I113" s="65">
        <v>121845</v>
      </c>
    </row>
    <row r="114" spans="1:9" ht="16.5" thickBot="1" x14ac:dyDescent="0.3">
      <c r="A114" s="52" t="s">
        <v>76</v>
      </c>
      <c r="B114" s="114" t="s">
        <v>151</v>
      </c>
      <c r="C114" s="115"/>
      <c r="D114" s="115"/>
      <c r="E114" s="116"/>
      <c r="F114" s="81" t="s">
        <v>94</v>
      </c>
      <c r="G114" s="81" t="s">
        <v>95</v>
      </c>
      <c r="H114" s="69" t="s">
        <v>96</v>
      </c>
      <c r="I114" s="69" t="s">
        <v>124</v>
      </c>
    </row>
    <row r="115" spans="1:9" ht="15.75" x14ac:dyDescent="0.25">
      <c r="A115" s="16" t="s">
        <v>77</v>
      </c>
      <c r="B115" s="65">
        <v>128763</v>
      </c>
      <c r="C115" s="65">
        <v>64381</v>
      </c>
      <c r="D115" s="65">
        <v>64381</v>
      </c>
      <c r="E115" s="65">
        <v>64381</v>
      </c>
      <c r="F115" s="73">
        <f t="shared" si="10"/>
        <v>90134.099999999991</v>
      </c>
      <c r="G115" s="73">
        <f t="shared" si="11"/>
        <v>77257.8</v>
      </c>
      <c r="H115" s="65">
        <v>35704</v>
      </c>
      <c r="I115" s="65">
        <v>35704</v>
      </c>
    </row>
    <row r="116" spans="1:9" ht="16.5" thickBot="1" x14ac:dyDescent="0.3">
      <c r="A116" s="17" t="s">
        <v>78</v>
      </c>
      <c r="B116" s="65">
        <v>199762</v>
      </c>
      <c r="C116" s="65">
        <v>99881</v>
      </c>
      <c r="D116" s="65">
        <v>99881</v>
      </c>
      <c r="E116" s="65">
        <v>99881</v>
      </c>
      <c r="F116" s="73">
        <f t="shared" si="10"/>
        <v>139833.4</v>
      </c>
      <c r="G116" s="73">
        <f t="shared" si="11"/>
        <v>119857.2</v>
      </c>
      <c r="H116" s="65">
        <v>55391</v>
      </c>
      <c r="I116" s="65">
        <v>55391</v>
      </c>
    </row>
    <row r="117" spans="1:9" ht="16.5" thickBot="1" x14ac:dyDescent="0.3">
      <c r="A117" s="52" t="s">
        <v>79</v>
      </c>
      <c r="B117" s="114" t="s">
        <v>151</v>
      </c>
      <c r="C117" s="115"/>
      <c r="D117" s="115"/>
      <c r="E117" s="116"/>
      <c r="F117" s="81" t="s">
        <v>94</v>
      </c>
      <c r="G117" s="81" t="s">
        <v>95</v>
      </c>
      <c r="H117" s="69" t="s">
        <v>96</v>
      </c>
      <c r="I117" s="69" t="s">
        <v>124</v>
      </c>
    </row>
    <row r="118" spans="1:9" ht="15.75" x14ac:dyDescent="0.25">
      <c r="A118" s="16" t="s">
        <v>80</v>
      </c>
      <c r="B118" s="65">
        <v>477701</v>
      </c>
      <c r="C118" s="65">
        <v>238851</v>
      </c>
      <c r="D118" s="65">
        <v>238851</v>
      </c>
      <c r="E118" s="65">
        <v>238851</v>
      </c>
      <c r="F118" s="73">
        <f t="shared" si="10"/>
        <v>334390.69999999995</v>
      </c>
      <c r="G118" s="73">
        <f t="shared" si="11"/>
        <v>286620.59999999998</v>
      </c>
      <c r="H118" s="65">
        <v>132458</v>
      </c>
      <c r="I118" s="65">
        <v>132458</v>
      </c>
    </row>
    <row r="119" spans="1:9" ht="15.75" x14ac:dyDescent="0.25">
      <c r="A119" s="18" t="s">
        <v>81</v>
      </c>
      <c r="B119" s="65">
        <v>236516</v>
      </c>
      <c r="C119" s="65">
        <v>118258</v>
      </c>
      <c r="D119" s="65">
        <v>118258</v>
      </c>
      <c r="E119" s="65">
        <v>118258</v>
      </c>
      <c r="F119" s="73">
        <f t="shared" si="10"/>
        <v>165561.19999999998</v>
      </c>
      <c r="G119" s="73">
        <f t="shared" si="11"/>
        <v>141909.6</v>
      </c>
      <c r="H119" s="65">
        <v>65582</v>
      </c>
      <c r="I119" s="65">
        <v>65582</v>
      </c>
    </row>
    <row r="120" spans="1:9" ht="15.75" x14ac:dyDescent="0.25">
      <c r="A120" s="18" t="s">
        <v>82</v>
      </c>
      <c r="B120" s="65">
        <v>274873</v>
      </c>
      <c r="C120" s="65">
        <v>137436</v>
      </c>
      <c r="D120" s="65">
        <v>137436</v>
      </c>
      <c r="E120" s="65">
        <v>137436</v>
      </c>
      <c r="F120" s="73">
        <f t="shared" si="10"/>
        <v>192411.09999999998</v>
      </c>
      <c r="G120" s="73">
        <f t="shared" si="11"/>
        <v>164923.79999999999</v>
      </c>
      <c r="H120" s="65">
        <v>76217</v>
      </c>
      <c r="I120" s="65">
        <v>76217</v>
      </c>
    </row>
    <row r="121" spans="1:9" ht="16.5" thickBot="1" x14ac:dyDescent="0.3">
      <c r="A121" s="17" t="s">
        <v>83</v>
      </c>
      <c r="B121" s="65">
        <v>313203</v>
      </c>
      <c r="C121" s="65">
        <v>156601</v>
      </c>
      <c r="D121" s="65">
        <v>156601</v>
      </c>
      <c r="E121" s="65">
        <v>156601</v>
      </c>
      <c r="F121" s="73">
        <f t="shared" si="10"/>
        <v>219242.09999999998</v>
      </c>
      <c r="G121" s="73">
        <f t="shared" si="11"/>
        <v>187921.8</v>
      </c>
      <c r="H121" s="65">
        <v>86846</v>
      </c>
      <c r="I121" s="65">
        <v>86846</v>
      </c>
    </row>
    <row r="122" spans="1:9" ht="16.5" thickBot="1" x14ac:dyDescent="0.3">
      <c r="A122" s="52" t="s">
        <v>84</v>
      </c>
      <c r="B122" s="114" t="s">
        <v>151</v>
      </c>
      <c r="C122" s="115"/>
      <c r="D122" s="115"/>
      <c r="E122" s="116"/>
      <c r="F122" s="81" t="s">
        <v>94</v>
      </c>
      <c r="G122" s="81" t="s">
        <v>95</v>
      </c>
      <c r="H122" s="69" t="s">
        <v>96</v>
      </c>
      <c r="I122" s="69" t="s">
        <v>124</v>
      </c>
    </row>
    <row r="123" spans="1:9" ht="15.75" x14ac:dyDescent="0.25">
      <c r="A123" s="16" t="s">
        <v>85</v>
      </c>
      <c r="B123" s="65">
        <v>139695</v>
      </c>
      <c r="C123" s="65">
        <v>69848</v>
      </c>
      <c r="D123" s="65">
        <v>69848</v>
      </c>
      <c r="E123" s="65">
        <v>69848</v>
      </c>
      <c r="F123" s="73">
        <f t="shared" si="10"/>
        <v>97786.5</v>
      </c>
      <c r="G123" s="73">
        <f t="shared" si="11"/>
        <v>83817</v>
      </c>
      <c r="H123" s="65">
        <v>38735</v>
      </c>
      <c r="I123" s="65">
        <v>38735</v>
      </c>
    </row>
    <row r="124" spans="1:9" ht="15.75" x14ac:dyDescent="0.25">
      <c r="A124" s="18" t="s">
        <v>86</v>
      </c>
      <c r="B124" s="65">
        <v>153373</v>
      </c>
      <c r="C124" s="65">
        <v>76687</v>
      </c>
      <c r="D124" s="65">
        <v>76687</v>
      </c>
      <c r="E124" s="65">
        <v>76687</v>
      </c>
      <c r="F124" s="73">
        <f t="shared" si="10"/>
        <v>107361.09999999999</v>
      </c>
      <c r="G124" s="73">
        <f t="shared" si="11"/>
        <v>92023.8</v>
      </c>
      <c r="H124" s="65">
        <v>42528</v>
      </c>
      <c r="I124" s="65">
        <v>42528</v>
      </c>
    </row>
    <row r="125" spans="1:9" ht="15.75" x14ac:dyDescent="0.25">
      <c r="A125" s="18" t="s">
        <v>87</v>
      </c>
      <c r="B125" s="65">
        <v>184044</v>
      </c>
      <c r="C125" s="65">
        <v>92022</v>
      </c>
      <c r="D125" s="65">
        <v>92022</v>
      </c>
      <c r="E125" s="65">
        <v>92022</v>
      </c>
      <c r="F125" s="73">
        <f t="shared" si="10"/>
        <v>128830.79999999999</v>
      </c>
      <c r="G125" s="73">
        <f t="shared" si="11"/>
        <v>110426.4</v>
      </c>
      <c r="H125" s="65">
        <v>51032</v>
      </c>
      <c r="I125" s="65">
        <v>51032</v>
      </c>
    </row>
    <row r="126" spans="1:9" ht="16.5" thickBot="1" x14ac:dyDescent="0.3">
      <c r="A126" s="139" t="s">
        <v>88</v>
      </c>
      <c r="B126" s="110">
        <v>49078</v>
      </c>
      <c r="C126" s="110">
        <v>24539</v>
      </c>
      <c r="D126" s="110">
        <v>24539</v>
      </c>
      <c r="E126" s="110">
        <v>24539</v>
      </c>
      <c r="F126" s="124">
        <f t="shared" si="10"/>
        <v>34354.6</v>
      </c>
      <c r="G126" s="124">
        <f t="shared" si="11"/>
        <v>29446.799999999999</v>
      </c>
      <c r="H126" s="110">
        <v>13608</v>
      </c>
      <c r="I126" s="110">
        <v>13608</v>
      </c>
    </row>
    <row r="127" spans="1:9" ht="16.5" thickBot="1" x14ac:dyDescent="0.3">
      <c r="A127" s="141" t="s">
        <v>92</v>
      </c>
      <c r="B127" s="138" t="s">
        <v>151</v>
      </c>
      <c r="C127" s="127"/>
      <c r="D127" s="127"/>
      <c r="E127" s="128"/>
      <c r="F127" s="129" t="s">
        <v>94</v>
      </c>
      <c r="G127" s="129" t="s">
        <v>95</v>
      </c>
      <c r="H127" s="130" t="s">
        <v>96</v>
      </c>
      <c r="I127" s="130" t="s">
        <v>124</v>
      </c>
    </row>
    <row r="128" spans="1:9" ht="15.75" x14ac:dyDescent="0.25">
      <c r="A128" s="140" t="s">
        <v>89</v>
      </c>
      <c r="B128" s="136">
        <v>661862</v>
      </c>
      <c r="C128" s="136">
        <v>330931</v>
      </c>
      <c r="D128" s="136">
        <v>330931</v>
      </c>
      <c r="E128" s="136">
        <v>330931</v>
      </c>
      <c r="F128" s="126">
        <f t="shared" si="10"/>
        <v>463303.39999999997</v>
      </c>
      <c r="G128" s="126">
        <f t="shared" si="11"/>
        <v>397117.2</v>
      </c>
      <c r="H128" s="136">
        <v>183523</v>
      </c>
      <c r="I128" s="136">
        <v>183523</v>
      </c>
    </row>
    <row r="129" spans="1:9" ht="15.75" x14ac:dyDescent="0.25">
      <c r="A129" s="18" t="s">
        <v>90</v>
      </c>
      <c r="B129" s="65">
        <v>692556</v>
      </c>
      <c r="C129" s="65">
        <v>346278</v>
      </c>
      <c r="D129" s="65">
        <v>346278</v>
      </c>
      <c r="E129" s="65">
        <v>346278</v>
      </c>
      <c r="F129" s="73">
        <f t="shared" si="10"/>
        <v>484789.19999999995</v>
      </c>
      <c r="G129" s="73">
        <f t="shared" si="11"/>
        <v>415533.6</v>
      </c>
      <c r="H129" s="65">
        <v>192034</v>
      </c>
      <c r="I129" s="65">
        <v>192034</v>
      </c>
    </row>
    <row r="130" spans="1:9" ht="16.5" thickBot="1" x14ac:dyDescent="0.3">
      <c r="A130" s="135" t="s">
        <v>91</v>
      </c>
      <c r="B130" s="110">
        <v>90078</v>
      </c>
      <c r="C130" s="110">
        <v>45039</v>
      </c>
      <c r="D130" s="110">
        <v>45039</v>
      </c>
      <c r="E130" s="110">
        <v>45039</v>
      </c>
      <c r="F130" s="124">
        <f t="shared" si="10"/>
        <v>63054.6</v>
      </c>
      <c r="G130" s="124">
        <f t="shared" si="11"/>
        <v>54046.799999999996</v>
      </c>
      <c r="H130" s="110">
        <v>24977</v>
      </c>
      <c r="I130" s="110">
        <v>24977</v>
      </c>
    </row>
    <row r="131" spans="1:9" ht="19.5" thickBot="1" x14ac:dyDescent="0.35">
      <c r="A131" s="137" t="s">
        <v>162</v>
      </c>
      <c r="B131" s="138"/>
      <c r="C131" s="127"/>
      <c r="D131" s="127"/>
      <c r="E131" s="128"/>
      <c r="F131" s="129"/>
      <c r="G131" s="129" t="s">
        <v>95</v>
      </c>
      <c r="H131" s="130" t="s">
        <v>96</v>
      </c>
      <c r="I131" s="130" t="s">
        <v>124</v>
      </c>
    </row>
    <row r="132" spans="1:9" x14ac:dyDescent="0.25">
      <c r="A132" s="142" t="s">
        <v>47</v>
      </c>
      <c r="B132" s="136"/>
      <c r="C132" s="136"/>
      <c r="D132" s="136"/>
      <c r="E132" s="136"/>
      <c r="F132" s="136"/>
      <c r="G132" s="92">
        <v>99890</v>
      </c>
      <c r="H132" s="136"/>
      <c r="I132" s="143"/>
    </row>
    <row r="133" spans="1:9" x14ac:dyDescent="0.25">
      <c r="A133" s="144" t="s">
        <v>48</v>
      </c>
      <c r="B133" s="65"/>
      <c r="C133" s="65"/>
      <c r="D133" s="65"/>
      <c r="E133" s="65"/>
      <c r="F133" s="65"/>
      <c r="G133" s="70">
        <v>49945</v>
      </c>
      <c r="H133" s="65">
        <f>+$G$133</f>
        <v>49945</v>
      </c>
      <c r="I133" s="145">
        <f>+$G$133</f>
        <v>49945</v>
      </c>
    </row>
    <row r="134" spans="1:9" x14ac:dyDescent="0.25">
      <c r="A134" s="144" t="s">
        <v>49</v>
      </c>
      <c r="B134" s="65"/>
      <c r="C134" s="65"/>
      <c r="D134" s="65"/>
      <c r="E134" s="65"/>
      <c r="F134" s="65"/>
      <c r="G134" s="70">
        <v>95529</v>
      </c>
      <c r="H134" s="65">
        <f>+$G$134</f>
        <v>95529</v>
      </c>
      <c r="I134" s="145">
        <f>+$G$134</f>
        <v>95529</v>
      </c>
    </row>
    <row r="135" spans="1:9" x14ac:dyDescent="0.25">
      <c r="A135" s="144" t="s">
        <v>50</v>
      </c>
      <c r="B135" s="65"/>
      <c r="C135" s="65"/>
      <c r="D135" s="65"/>
      <c r="E135" s="65"/>
      <c r="F135" s="65"/>
      <c r="G135" s="70">
        <v>90026</v>
      </c>
      <c r="H135" s="65">
        <f>+$G$135</f>
        <v>90026</v>
      </c>
      <c r="I135" s="145">
        <f>+$G$135</f>
        <v>90026</v>
      </c>
    </row>
    <row r="136" spans="1:9" hidden="1" x14ac:dyDescent="0.25">
      <c r="A136" s="144" t="s">
        <v>51</v>
      </c>
      <c r="B136" s="65"/>
      <c r="C136" s="65"/>
      <c r="D136" s="65"/>
      <c r="E136" s="65"/>
      <c r="F136" s="65"/>
      <c r="G136" s="70">
        <f t="shared" ref="G136:G149" si="12">+E136</f>
        <v>0</v>
      </c>
      <c r="H136" s="65"/>
      <c r="I136" s="145"/>
    </row>
    <row r="137" spans="1:9" hidden="1" x14ac:dyDescent="0.25">
      <c r="A137" s="144" t="s">
        <v>66</v>
      </c>
      <c r="B137" s="65"/>
      <c r="C137" s="65"/>
      <c r="D137" s="65"/>
      <c r="E137" s="65"/>
      <c r="F137" s="65"/>
      <c r="G137" s="70">
        <f t="shared" si="12"/>
        <v>0</v>
      </c>
      <c r="H137" s="65"/>
      <c r="I137" s="145"/>
    </row>
    <row r="138" spans="1:9" hidden="1" x14ac:dyDescent="0.25">
      <c r="A138" s="144" t="s">
        <v>64</v>
      </c>
      <c r="B138" s="65"/>
      <c r="C138" s="65"/>
      <c r="D138" s="65"/>
      <c r="E138" s="65"/>
      <c r="F138" s="65"/>
      <c r="G138" s="70">
        <f t="shared" si="12"/>
        <v>0</v>
      </c>
      <c r="H138" s="65"/>
      <c r="I138" s="145"/>
    </row>
    <row r="139" spans="1:9" hidden="1" x14ac:dyDescent="0.25">
      <c r="A139" s="144" t="s">
        <v>52</v>
      </c>
      <c r="B139" s="65"/>
      <c r="C139" s="65"/>
      <c r="D139" s="65"/>
      <c r="E139" s="65"/>
      <c r="F139" s="65"/>
      <c r="G139" s="70">
        <f t="shared" si="12"/>
        <v>0</v>
      </c>
      <c r="H139" s="65"/>
      <c r="I139" s="145"/>
    </row>
    <row r="140" spans="1:9" hidden="1" x14ac:dyDescent="0.25">
      <c r="A140" s="144" t="s">
        <v>53</v>
      </c>
      <c r="B140" s="65"/>
      <c r="C140" s="65"/>
      <c r="D140" s="65"/>
      <c r="E140" s="65"/>
      <c r="F140" s="65"/>
      <c r="G140" s="70">
        <f t="shared" si="12"/>
        <v>0</v>
      </c>
      <c r="H140" s="65"/>
      <c r="I140" s="145"/>
    </row>
    <row r="141" spans="1:9" hidden="1" x14ac:dyDescent="0.25">
      <c r="A141" s="144" t="s">
        <v>54</v>
      </c>
      <c r="B141" s="65"/>
      <c r="C141" s="65"/>
      <c r="D141" s="65"/>
      <c r="E141" s="65"/>
      <c r="F141" s="65"/>
      <c r="G141" s="70">
        <f t="shared" si="12"/>
        <v>0</v>
      </c>
      <c r="H141" s="65"/>
      <c r="I141" s="145"/>
    </row>
    <row r="142" spans="1:9" hidden="1" x14ac:dyDescent="0.25">
      <c r="A142" s="144" t="s">
        <v>68</v>
      </c>
      <c r="B142" s="65"/>
      <c r="C142" s="65"/>
      <c r="D142" s="65"/>
      <c r="E142" s="65"/>
      <c r="F142" s="65"/>
      <c r="G142" s="70">
        <f t="shared" si="12"/>
        <v>0</v>
      </c>
      <c r="H142" s="65"/>
      <c r="I142" s="145"/>
    </row>
    <row r="143" spans="1:9" hidden="1" x14ac:dyDescent="0.25">
      <c r="A143" s="144" t="s">
        <v>55</v>
      </c>
      <c r="B143" s="65"/>
      <c r="C143" s="65"/>
      <c r="D143" s="65"/>
      <c r="E143" s="65"/>
      <c r="F143" s="65"/>
      <c r="G143" s="70">
        <f t="shared" si="12"/>
        <v>0</v>
      </c>
      <c r="H143" s="65"/>
      <c r="I143" s="145"/>
    </row>
    <row r="144" spans="1:9" hidden="1" x14ac:dyDescent="0.25">
      <c r="A144" s="144" t="s">
        <v>56</v>
      </c>
      <c r="B144" s="65"/>
      <c r="C144" s="65"/>
      <c r="D144" s="65"/>
      <c r="E144" s="65"/>
      <c r="F144" s="65"/>
      <c r="G144" s="70">
        <f t="shared" si="12"/>
        <v>0</v>
      </c>
      <c r="H144" s="65"/>
      <c r="I144" s="145"/>
    </row>
    <row r="145" spans="1:9" hidden="1" x14ac:dyDescent="0.25">
      <c r="A145" s="144" t="s">
        <v>57</v>
      </c>
      <c r="B145" s="65"/>
      <c r="C145" s="65"/>
      <c r="D145" s="65"/>
      <c r="E145" s="65"/>
      <c r="F145" s="65"/>
      <c r="G145" s="70">
        <f t="shared" si="12"/>
        <v>0</v>
      </c>
      <c r="H145" s="65"/>
      <c r="I145" s="145"/>
    </row>
    <row r="146" spans="1:9" hidden="1" x14ac:dyDescent="0.25">
      <c r="A146" s="144" t="s">
        <v>58</v>
      </c>
      <c r="B146" s="65"/>
      <c r="C146" s="65"/>
      <c r="D146" s="65"/>
      <c r="E146" s="65"/>
      <c r="F146" s="65"/>
      <c r="G146" s="70">
        <f t="shared" si="12"/>
        <v>0</v>
      </c>
      <c r="H146" s="65"/>
      <c r="I146" s="145"/>
    </row>
    <row r="147" spans="1:9" hidden="1" x14ac:dyDescent="0.25">
      <c r="A147" s="144" t="s">
        <v>59</v>
      </c>
      <c r="B147" s="65"/>
      <c r="C147" s="65"/>
      <c r="D147" s="65"/>
      <c r="E147" s="65"/>
      <c r="F147" s="65"/>
      <c r="G147" s="70">
        <f t="shared" si="12"/>
        <v>0</v>
      </c>
      <c r="H147" s="65"/>
      <c r="I147" s="145"/>
    </row>
    <row r="148" spans="1:9" hidden="1" x14ac:dyDescent="0.25">
      <c r="A148" s="144" t="s">
        <v>60</v>
      </c>
      <c r="B148" s="65"/>
      <c r="C148" s="65"/>
      <c r="D148" s="65"/>
      <c r="E148" s="65"/>
      <c r="F148" s="65"/>
      <c r="G148" s="70">
        <f t="shared" si="12"/>
        <v>0</v>
      </c>
      <c r="H148" s="65"/>
      <c r="I148" s="145"/>
    </row>
    <row r="149" spans="1:9" hidden="1" x14ac:dyDescent="0.25">
      <c r="A149" s="144" t="s">
        <v>61</v>
      </c>
      <c r="B149" s="65"/>
      <c r="C149" s="65"/>
      <c r="D149" s="65"/>
      <c r="E149" s="65"/>
      <c r="F149" s="65"/>
      <c r="G149" s="70">
        <f t="shared" si="12"/>
        <v>0</v>
      </c>
      <c r="H149" s="65"/>
      <c r="I149" s="145"/>
    </row>
    <row r="150" spans="1:9" x14ac:dyDescent="0.25">
      <c r="A150" s="146" t="s">
        <v>223</v>
      </c>
      <c r="B150" s="110"/>
      <c r="C150" s="110"/>
      <c r="D150" s="110"/>
      <c r="E150" s="110"/>
      <c r="F150" s="110"/>
      <c r="G150" s="97">
        <v>17756</v>
      </c>
      <c r="H150" s="132">
        <f t="shared" ref="G150:I153" si="13">+$G$150</f>
        <v>17756</v>
      </c>
      <c r="I150" s="147">
        <f t="shared" si="13"/>
        <v>17756</v>
      </c>
    </row>
    <row r="151" spans="1:9" x14ac:dyDescent="0.25">
      <c r="A151" s="146" t="s">
        <v>185</v>
      </c>
      <c r="B151" s="110"/>
      <c r="C151" s="110"/>
      <c r="D151" s="110"/>
      <c r="E151" s="110"/>
      <c r="F151" s="110"/>
      <c r="G151" s="132">
        <f>+$G$150</f>
        <v>17756</v>
      </c>
      <c r="H151" s="132">
        <f t="shared" si="13"/>
        <v>17756</v>
      </c>
      <c r="I151" s="147">
        <f t="shared" si="13"/>
        <v>17756</v>
      </c>
    </row>
    <row r="152" spans="1:9" x14ac:dyDescent="0.25">
      <c r="A152" s="146" t="s">
        <v>64</v>
      </c>
      <c r="B152" s="120"/>
      <c r="C152" s="120"/>
      <c r="D152" s="120"/>
      <c r="E152" s="120"/>
      <c r="F152" s="120"/>
      <c r="G152" s="132">
        <f>+$G$150</f>
        <v>17756</v>
      </c>
      <c r="H152" s="132">
        <f t="shared" si="13"/>
        <v>17756</v>
      </c>
      <c r="I152" s="147">
        <f t="shared" si="13"/>
        <v>17756</v>
      </c>
    </row>
    <row r="153" spans="1:9" x14ac:dyDescent="0.25">
      <c r="A153" s="146" t="s">
        <v>52</v>
      </c>
      <c r="B153" s="110"/>
      <c r="C153" s="110"/>
      <c r="D153" s="110"/>
      <c r="E153" s="110"/>
      <c r="F153" s="110"/>
      <c r="G153" s="132">
        <f t="shared" si="13"/>
        <v>17756</v>
      </c>
      <c r="H153" s="132">
        <f t="shared" si="13"/>
        <v>17756</v>
      </c>
      <c r="I153" s="147">
        <f t="shared" si="13"/>
        <v>17756</v>
      </c>
    </row>
    <row r="154" spans="1:9" x14ac:dyDescent="0.25">
      <c r="A154" s="146" t="s">
        <v>221</v>
      </c>
      <c r="B154" s="110"/>
      <c r="C154" s="110"/>
      <c r="D154" s="110"/>
      <c r="E154" s="110"/>
      <c r="F154" s="110"/>
      <c r="G154" s="134">
        <v>35512</v>
      </c>
      <c r="H154" s="132">
        <f>+$G$154</f>
        <v>35512</v>
      </c>
      <c r="I154" s="147">
        <f>+$G$154</f>
        <v>35512</v>
      </c>
    </row>
    <row r="155" spans="1:9" x14ac:dyDescent="0.25">
      <c r="A155" s="146" t="s">
        <v>53</v>
      </c>
      <c r="B155" s="110"/>
      <c r="C155" s="110"/>
      <c r="D155" s="110"/>
      <c r="E155" s="110"/>
      <c r="F155" s="110"/>
      <c r="G155" s="97">
        <v>12772</v>
      </c>
      <c r="H155" s="110"/>
      <c r="I155" s="148"/>
    </row>
    <row r="156" spans="1:9" x14ac:dyDescent="0.25">
      <c r="A156" s="146" t="s">
        <v>54</v>
      </c>
      <c r="B156" s="110"/>
      <c r="C156" s="110"/>
      <c r="D156" s="110"/>
      <c r="E156" s="110"/>
      <c r="F156" s="110"/>
      <c r="G156" s="97">
        <v>14226</v>
      </c>
      <c r="H156" s="110">
        <f>+$G$156</f>
        <v>14226</v>
      </c>
      <c r="I156" s="148">
        <f>+$G$156</f>
        <v>14226</v>
      </c>
    </row>
    <row r="157" spans="1:9" x14ac:dyDescent="0.25">
      <c r="A157" s="146" t="s">
        <v>68</v>
      </c>
      <c r="B157" s="110"/>
      <c r="C157" s="110"/>
      <c r="D157" s="110"/>
      <c r="E157" s="110"/>
      <c r="F157" s="110"/>
      <c r="G157" s="97">
        <v>14329</v>
      </c>
      <c r="H157" s="110"/>
      <c r="I157" s="148"/>
    </row>
    <row r="158" spans="1:9" x14ac:dyDescent="0.25">
      <c r="A158" s="146" t="s">
        <v>55</v>
      </c>
      <c r="B158" s="110"/>
      <c r="C158" s="110"/>
      <c r="D158" s="110"/>
      <c r="E158" s="110"/>
      <c r="F158" s="110"/>
      <c r="G158" s="97">
        <v>21390</v>
      </c>
      <c r="H158" s="110">
        <f>+$G$158</f>
        <v>21390</v>
      </c>
      <c r="I158" s="148">
        <f>+$G$158</f>
        <v>21390</v>
      </c>
    </row>
    <row r="159" spans="1:9" x14ac:dyDescent="0.25">
      <c r="A159" s="146" t="s">
        <v>56</v>
      </c>
      <c r="B159" s="110"/>
      <c r="C159" s="110"/>
      <c r="D159" s="110"/>
      <c r="E159" s="110"/>
      <c r="F159" s="110"/>
      <c r="G159" s="97">
        <v>18067</v>
      </c>
      <c r="H159" s="110"/>
      <c r="I159" s="148"/>
    </row>
    <row r="160" spans="1:9" x14ac:dyDescent="0.25">
      <c r="A160" s="146" t="s">
        <v>222</v>
      </c>
      <c r="B160" s="110"/>
      <c r="C160" s="110"/>
      <c r="D160" s="110"/>
      <c r="E160" s="110"/>
      <c r="F160" s="110"/>
      <c r="G160" s="97">
        <v>36134</v>
      </c>
      <c r="H160" s="110">
        <f>+$G$160</f>
        <v>36134</v>
      </c>
      <c r="I160" s="148">
        <f>+$G$160</f>
        <v>36134</v>
      </c>
    </row>
    <row r="161" spans="1:12" x14ac:dyDescent="0.25">
      <c r="A161" s="146" t="s">
        <v>188</v>
      </c>
      <c r="B161" s="110"/>
      <c r="C161" s="110"/>
      <c r="D161" s="110"/>
      <c r="E161" s="110"/>
      <c r="F161" s="110"/>
      <c r="G161" s="97">
        <v>17029</v>
      </c>
      <c r="H161" s="110"/>
      <c r="I161" s="148"/>
    </row>
    <row r="162" spans="1:12" x14ac:dyDescent="0.25">
      <c r="A162" s="146" t="s">
        <v>224</v>
      </c>
      <c r="B162" s="110"/>
      <c r="C162" s="110"/>
      <c r="D162" s="110"/>
      <c r="E162" s="110"/>
      <c r="F162" s="110"/>
      <c r="G162" s="132">
        <f>+$G$161</f>
        <v>17029</v>
      </c>
      <c r="H162" s="110">
        <f>+$G$161</f>
        <v>17029</v>
      </c>
      <c r="I162" s="148">
        <f>+$G$161</f>
        <v>17029</v>
      </c>
    </row>
    <row r="163" spans="1:12" x14ac:dyDescent="0.25">
      <c r="A163" s="146" t="s">
        <v>178</v>
      </c>
      <c r="B163" s="110"/>
      <c r="C163" s="110"/>
      <c r="D163" s="110"/>
      <c r="E163" s="110"/>
      <c r="F163" s="110"/>
      <c r="G163" s="97">
        <v>17237</v>
      </c>
      <c r="H163" s="110"/>
      <c r="I163" s="148"/>
    </row>
    <row r="164" spans="1:12" x14ac:dyDescent="0.25">
      <c r="A164" s="146" t="s">
        <v>60</v>
      </c>
      <c r="B164" s="110"/>
      <c r="C164" s="110"/>
      <c r="D164" s="110"/>
      <c r="E164" s="110"/>
      <c r="F164" s="110"/>
      <c r="G164" s="97">
        <v>20560</v>
      </c>
      <c r="H164" s="110"/>
      <c r="I164" s="148"/>
    </row>
    <row r="165" spans="1:12" x14ac:dyDescent="0.25">
      <c r="A165" s="146" t="s">
        <v>61</v>
      </c>
      <c r="B165" s="110"/>
      <c r="C165" s="110"/>
      <c r="D165" s="110"/>
      <c r="E165" s="110"/>
      <c r="F165" s="110"/>
      <c r="G165" s="97">
        <v>14952</v>
      </c>
      <c r="H165" s="110"/>
      <c r="I165" s="148"/>
    </row>
    <row r="166" spans="1:12" x14ac:dyDescent="0.25">
      <c r="A166" s="146" t="s">
        <v>220</v>
      </c>
      <c r="B166" s="110"/>
      <c r="C166" s="110"/>
      <c r="D166" s="110"/>
      <c r="E166" s="110"/>
      <c r="F166" s="110"/>
      <c r="G166" s="97">
        <f>+$G$165*2</f>
        <v>29904</v>
      </c>
      <c r="H166" s="110">
        <f>+$G$166</f>
        <v>29904</v>
      </c>
      <c r="I166" s="148">
        <f>+$G$166</f>
        <v>29904</v>
      </c>
    </row>
    <row r="167" spans="1:12" x14ac:dyDescent="0.25">
      <c r="A167" s="144" t="s">
        <v>62</v>
      </c>
      <c r="B167" s="65"/>
      <c r="C167" s="65"/>
      <c r="D167" s="65"/>
      <c r="E167" s="65"/>
      <c r="F167" s="65"/>
      <c r="G167" s="70">
        <v>36239</v>
      </c>
      <c r="H167" s="65"/>
      <c r="I167" s="145"/>
    </row>
    <row r="168" spans="1:12" x14ac:dyDescent="0.25">
      <c r="A168" s="144" t="s">
        <v>63</v>
      </c>
      <c r="B168" s="65"/>
      <c r="C168" s="65"/>
      <c r="D168" s="65"/>
      <c r="E168" s="65"/>
      <c r="F168" s="65"/>
      <c r="G168" s="70">
        <v>38835</v>
      </c>
      <c r="H168" s="65"/>
      <c r="I168" s="145"/>
    </row>
    <row r="169" spans="1:12" ht="15.75" thickBot="1" x14ac:dyDescent="0.3">
      <c r="A169" s="146" t="s">
        <v>65</v>
      </c>
      <c r="B169" s="120"/>
      <c r="C169" s="120"/>
      <c r="D169" s="120"/>
      <c r="E169" s="120"/>
      <c r="F169" s="120"/>
      <c r="G169" s="131">
        <v>70000</v>
      </c>
      <c r="H169" s="133">
        <v>25000</v>
      </c>
      <c r="I169" s="149">
        <f>+$H$169</f>
        <v>25000</v>
      </c>
    </row>
    <row r="170" spans="1:12" ht="19.5" thickBot="1" x14ac:dyDescent="0.35">
      <c r="A170" s="111" t="s">
        <v>0</v>
      </c>
      <c r="B170" s="112"/>
      <c r="C170" s="112"/>
      <c r="D170" s="112"/>
      <c r="E170" s="112"/>
      <c r="F170" s="112"/>
      <c r="G170" s="112"/>
      <c r="H170" s="112"/>
      <c r="I170" s="113"/>
    </row>
    <row r="171" spans="1:12" s="12" customFormat="1" ht="16.5" thickBot="1" x14ac:dyDescent="0.3">
      <c r="A171" s="87" t="s">
        <v>4</v>
      </c>
      <c r="B171" s="121"/>
      <c r="C171" s="95"/>
      <c r="D171" s="95"/>
      <c r="E171" s="95"/>
      <c r="F171" s="95"/>
      <c r="G171" s="95" t="s">
        <v>95</v>
      </c>
      <c r="H171" s="95" t="s">
        <v>96</v>
      </c>
      <c r="I171" s="96" t="s">
        <v>124</v>
      </c>
      <c r="J171" s="158"/>
      <c r="K171" s="61" t="s">
        <v>154</v>
      </c>
      <c r="L171" s="66">
        <v>12000</v>
      </c>
    </row>
    <row r="172" spans="1:12" s="12" customFormat="1" ht="15.75" x14ac:dyDescent="0.25">
      <c r="A172" s="9" t="s">
        <v>161</v>
      </c>
      <c r="B172" s="84"/>
      <c r="C172" s="84"/>
      <c r="D172" s="84"/>
      <c r="E172" s="84"/>
      <c r="F172" s="84"/>
      <c r="G172" s="84">
        <f>+$L$171</f>
        <v>12000</v>
      </c>
      <c r="H172" s="84">
        <f t="shared" ref="H172:I172" si="14">+$L$171</f>
        <v>12000</v>
      </c>
      <c r="I172" s="103">
        <f t="shared" si="14"/>
        <v>12000</v>
      </c>
      <c r="J172" s="158"/>
    </row>
    <row r="173" spans="1:12" s="12" customFormat="1" ht="15.75" x14ac:dyDescent="0.25">
      <c r="A173" s="9" t="s">
        <v>160</v>
      </c>
      <c r="B173" s="82"/>
      <c r="C173" s="82"/>
      <c r="D173" s="82"/>
      <c r="E173" s="82"/>
      <c r="F173" s="82"/>
      <c r="G173" s="83">
        <v>25000</v>
      </c>
      <c r="H173" s="82">
        <f>+G173</f>
        <v>25000</v>
      </c>
      <c r="I173" s="98">
        <f>+G173</f>
        <v>25000</v>
      </c>
      <c r="J173" s="158"/>
      <c r="K173" s="61" t="s">
        <v>129</v>
      </c>
      <c r="L173" s="66">
        <v>22000</v>
      </c>
    </row>
    <row r="174" spans="1:12" s="12" customFormat="1" ht="15.75" x14ac:dyDescent="0.25">
      <c r="A174" s="9" t="s">
        <v>210</v>
      </c>
      <c r="B174" s="82"/>
      <c r="C174" s="82"/>
      <c r="D174" s="82"/>
      <c r="E174" s="82"/>
      <c r="F174" s="82"/>
      <c r="G174" s="82">
        <f t="shared" ref="G174:G184" si="15">+$L$173</f>
        <v>22000</v>
      </c>
      <c r="H174" s="82">
        <f t="shared" ref="H174:I184" si="16">+$L$173</f>
        <v>22000</v>
      </c>
      <c r="I174" s="98">
        <f t="shared" si="16"/>
        <v>22000</v>
      </c>
      <c r="J174" s="158"/>
    </row>
    <row r="175" spans="1:12" s="12" customFormat="1" ht="15.75" x14ac:dyDescent="0.25">
      <c r="A175" s="9" t="s">
        <v>211</v>
      </c>
      <c r="B175" s="82"/>
      <c r="C175" s="82"/>
      <c r="D175" s="82"/>
      <c r="E175" s="82"/>
      <c r="F175" s="82"/>
      <c r="G175" s="82">
        <f t="shared" si="15"/>
        <v>22000</v>
      </c>
      <c r="H175" s="82">
        <f t="shared" si="16"/>
        <v>22000</v>
      </c>
      <c r="I175" s="98">
        <f t="shared" si="16"/>
        <v>22000</v>
      </c>
      <c r="J175" s="158"/>
    </row>
    <row r="176" spans="1:12" s="12" customFormat="1" ht="15.75" x14ac:dyDescent="0.25">
      <c r="A176" s="9" t="s">
        <v>212</v>
      </c>
      <c r="B176" s="82"/>
      <c r="C176" s="82"/>
      <c r="D176" s="82"/>
      <c r="E176" s="82"/>
      <c r="F176" s="82"/>
      <c r="G176" s="82">
        <f t="shared" si="15"/>
        <v>22000</v>
      </c>
      <c r="H176" s="82">
        <f t="shared" si="16"/>
        <v>22000</v>
      </c>
      <c r="I176" s="98">
        <f t="shared" si="16"/>
        <v>22000</v>
      </c>
      <c r="J176" s="158"/>
    </row>
    <row r="177" spans="1:12" s="12" customFormat="1" ht="15.75" x14ac:dyDescent="0.25">
      <c r="A177" s="9" t="s">
        <v>213</v>
      </c>
      <c r="B177" s="82"/>
      <c r="C177" s="82"/>
      <c r="D177" s="82"/>
      <c r="E177" s="82"/>
      <c r="F177" s="82"/>
      <c r="G177" s="82">
        <f t="shared" si="15"/>
        <v>22000</v>
      </c>
      <c r="H177" s="82">
        <f t="shared" si="16"/>
        <v>22000</v>
      </c>
      <c r="I177" s="98">
        <f t="shared" si="16"/>
        <v>22000</v>
      </c>
      <c r="J177" s="158"/>
    </row>
    <row r="178" spans="1:12" s="12" customFormat="1" ht="15.75" x14ac:dyDescent="0.25">
      <c r="A178" s="9" t="s">
        <v>214</v>
      </c>
      <c r="B178" s="82"/>
      <c r="C178" s="82"/>
      <c r="D178" s="82"/>
      <c r="E178" s="82"/>
      <c r="F178" s="82"/>
      <c r="G178" s="82">
        <f t="shared" si="15"/>
        <v>22000</v>
      </c>
      <c r="H178" s="82">
        <f t="shared" si="16"/>
        <v>22000</v>
      </c>
      <c r="I178" s="98">
        <f t="shared" si="16"/>
        <v>22000</v>
      </c>
      <c r="J178" s="158"/>
    </row>
    <row r="179" spans="1:12" s="12" customFormat="1" ht="15.75" x14ac:dyDescent="0.25">
      <c r="A179" s="9" t="s">
        <v>215</v>
      </c>
      <c r="B179" s="82"/>
      <c r="C179" s="82"/>
      <c r="D179" s="82"/>
      <c r="E179" s="82"/>
      <c r="F179" s="82"/>
      <c r="G179" s="82">
        <f t="shared" si="15"/>
        <v>22000</v>
      </c>
      <c r="H179" s="82">
        <f t="shared" si="16"/>
        <v>22000</v>
      </c>
      <c r="I179" s="98">
        <f t="shared" si="16"/>
        <v>22000</v>
      </c>
      <c r="J179" s="158"/>
    </row>
    <row r="180" spans="1:12" s="12" customFormat="1" ht="15.75" x14ac:dyDescent="0.25">
      <c r="A180" s="9" t="s">
        <v>216</v>
      </c>
      <c r="B180" s="82"/>
      <c r="C180" s="82"/>
      <c r="D180" s="82"/>
      <c r="E180" s="82"/>
      <c r="F180" s="82"/>
      <c r="G180" s="82">
        <f t="shared" si="15"/>
        <v>22000</v>
      </c>
      <c r="H180" s="82">
        <f t="shared" si="16"/>
        <v>22000</v>
      </c>
      <c r="I180" s="98">
        <f t="shared" si="16"/>
        <v>22000</v>
      </c>
      <c r="J180" s="158"/>
    </row>
    <row r="181" spans="1:12" s="12" customFormat="1" ht="15.75" x14ac:dyDescent="0.25">
      <c r="A181" s="9" t="s">
        <v>163</v>
      </c>
      <c r="B181" s="82"/>
      <c r="C181" s="82"/>
      <c r="D181" s="82"/>
      <c r="E181" s="82"/>
      <c r="F181" s="82"/>
      <c r="G181" s="82">
        <f t="shared" si="15"/>
        <v>22000</v>
      </c>
      <c r="H181" s="82">
        <f t="shared" si="16"/>
        <v>22000</v>
      </c>
      <c r="I181" s="98">
        <f t="shared" si="16"/>
        <v>22000</v>
      </c>
      <c r="J181" s="158"/>
    </row>
    <row r="182" spans="1:12" s="12" customFormat="1" ht="15.75" x14ac:dyDescent="0.25">
      <c r="A182" s="9" t="s">
        <v>217</v>
      </c>
      <c r="B182" s="82"/>
      <c r="C182" s="82"/>
      <c r="D182" s="82"/>
      <c r="E182" s="82"/>
      <c r="F182" s="82"/>
      <c r="G182" s="82">
        <f t="shared" si="15"/>
        <v>22000</v>
      </c>
      <c r="H182" s="82">
        <f t="shared" si="16"/>
        <v>22000</v>
      </c>
      <c r="I182" s="98">
        <f t="shared" si="16"/>
        <v>22000</v>
      </c>
      <c r="J182" s="158"/>
    </row>
    <row r="183" spans="1:12" s="12" customFormat="1" ht="15.75" x14ac:dyDescent="0.25">
      <c r="A183" s="9" t="s">
        <v>218</v>
      </c>
      <c r="B183" s="82"/>
      <c r="C183" s="82"/>
      <c r="D183" s="82"/>
      <c r="E183" s="82"/>
      <c r="F183" s="82"/>
      <c r="G183" s="82">
        <f t="shared" si="15"/>
        <v>22000</v>
      </c>
      <c r="H183" s="82">
        <f t="shared" si="16"/>
        <v>22000</v>
      </c>
      <c r="I183" s="98">
        <f t="shared" si="16"/>
        <v>22000</v>
      </c>
      <c r="J183" s="158"/>
    </row>
    <row r="184" spans="1:12" s="12" customFormat="1" ht="16.5" thickBot="1" x14ac:dyDescent="0.3">
      <c r="A184" s="10" t="s">
        <v>219</v>
      </c>
      <c r="B184" s="100"/>
      <c r="C184" s="100"/>
      <c r="D184" s="100"/>
      <c r="E184" s="100"/>
      <c r="F184" s="100"/>
      <c r="G184" s="100">
        <f t="shared" si="15"/>
        <v>22000</v>
      </c>
      <c r="H184" s="100">
        <f t="shared" si="16"/>
        <v>22000</v>
      </c>
      <c r="I184" s="101">
        <f t="shared" si="16"/>
        <v>22000</v>
      </c>
      <c r="J184" s="158"/>
    </row>
    <row r="185" spans="1:12" s="12" customFormat="1" ht="16.5" hidden="1" thickBot="1" x14ac:dyDescent="0.3">
      <c r="A185" s="23" t="s">
        <v>131</v>
      </c>
      <c r="B185" s="84"/>
      <c r="C185" s="84"/>
      <c r="D185" s="84"/>
      <c r="E185" s="84"/>
      <c r="F185" s="84"/>
      <c r="G185" s="102">
        <v>32000</v>
      </c>
      <c r="H185" s="102">
        <f t="shared" ref="H185:H186" si="17">+H184</f>
        <v>22000</v>
      </c>
      <c r="I185" s="84"/>
      <c r="J185" s="158"/>
    </row>
    <row r="186" spans="1:12" s="12" customFormat="1" ht="16.5" hidden="1" thickBot="1" x14ac:dyDescent="0.3">
      <c r="A186" s="19" t="s">
        <v>130</v>
      </c>
      <c r="B186" s="89"/>
      <c r="C186" s="89"/>
      <c r="D186" s="89"/>
      <c r="E186" s="89"/>
      <c r="F186" s="89"/>
      <c r="G186" s="88">
        <v>32000</v>
      </c>
      <c r="H186" s="88">
        <f t="shared" si="17"/>
        <v>22000</v>
      </c>
      <c r="I186" s="89"/>
      <c r="J186" s="158"/>
    </row>
    <row r="187" spans="1:12" ht="16.5" thickBot="1" x14ac:dyDescent="0.3">
      <c r="A187" s="87" t="s">
        <v>164</v>
      </c>
      <c r="B187" s="121"/>
      <c r="C187" s="122"/>
      <c r="D187" s="122"/>
      <c r="E187" s="95"/>
      <c r="F187" s="95"/>
      <c r="G187" s="95" t="s">
        <v>95</v>
      </c>
      <c r="H187" s="96" t="s">
        <v>96</v>
      </c>
      <c r="I187" s="96" t="s">
        <v>124</v>
      </c>
    </row>
    <row r="188" spans="1:12" x14ac:dyDescent="0.25">
      <c r="A188" s="8" t="s">
        <v>5</v>
      </c>
      <c r="B188" s="93"/>
      <c r="C188" s="93"/>
      <c r="D188" s="93"/>
      <c r="E188" s="93"/>
      <c r="F188" s="93"/>
      <c r="G188" s="92">
        <v>24000</v>
      </c>
      <c r="H188" s="93">
        <f>+G188</f>
        <v>24000</v>
      </c>
      <c r="I188" s="94">
        <f>+G188</f>
        <v>24000</v>
      </c>
    </row>
    <row r="189" spans="1:12" ht="15.75" hidden="1" thickBot="1" x14ac:dyDescent="0.3">
      <c r="A189" s="10" t="s">
        <v>123</v>
      </c>
      <c r="B189" s="71"/>
      <c r="C189" s="71"/>
      <c r="D189" s="71"/>
      <c r="E189" s="71"/>
      <c r="F189" s="71"/>
      <c r="G189" s="71"/>
      <c r="H189" s="71">
        <f t="shared" ref="H189:I229" si="18">+G189</f>
        <v>0</v>
      </c>
      <c r="I189" s="90">
        <f t="shared" si="18"/>
        <v>0</v>
      </c>
    </row>
    <row r="190" spans="1:12" x14ac:dyDescent="0.25">
      <c r="A190" s="9" t="s">
        <v>165</v>
      </c>
      <c r="B190" s="85"/>
      <c r="C190" s="85"/>
      <c r="D190" s="85"/>
      <c r="E190" s="85"/>
      <c r="F190" s="85"/>
      <c r="G190" s="85">
        <f t="shared" ref="G190:I190" si="19">$L$190</f>
        <v>16640</v>
      </c>
      <c r="H190" s="85">
        <f t="shared" si="19"/>
        <v>16640</v>
      </c>
      <c r="I190" s="91">
        <f t="shared" si="19"/>
        <v>16640</v>
      </c>
      <c r="K190" s="61" t="s">
        <v>154</v>
      </c>
      <c r="L190" s="66">
        <v>16640</v>
      </c>
    </row>
    <row r="191" spans="1:12" x14ac:dyDescent="0.25">
      <c r="A191" s="9" t="s">
        <v>153</v>
      </c>
      <c r="B191" s="85"/>
      <c r="C191" s="85"/>
      <c r="D191" s="85"/>
      <c r="E191" s="85"/>
      <c r="F191" s="85"/>
      <c r="G191" s="85">
        <f>$L$191</f>
        <v>9600</v>
      </c>
      <c r="H191" s="85">
        <f t="shared" ref="H191:I191" si="20">$L$191</f>
        <v>9600</v>
      </c>
      <c r="I191" s="91">
        <f t="shared" si="20"/>
        <v>9600</v>
      </c>
      <c r="K191" s="61" t="s">
        <v>153</v>
      </c>
      <c r="L191" s="66">
        <v>9600</v>
      </c>
    </row>
    <row r="192" spans="1:12" x14ac:dyDescent="0.25">
      <c r="A192" s="9" t="s">
        <v>166</v>
      </c>
      <c r="B192" s="85"/>
      <c r="C192" s="85"/>
      <c r="D192" s="85"/>
      <c r="E192" s="85"/>
      <c r="F192" s="85"/>
      <c r="G192" s="85">
        <f>$L$190</f>
        <v>16640</v>
      </c>
      <c r="H192" s="85">
        <f t="shared" ref="H192:I192" si="21">$L$190</f>
        <v>16640</v>
      </c>
      <c r="I192" s="91">
        <f t="shared" si="21"/>
        <v>16640</v>
      </c>
      <c r="L192" s="64"/>
    </row>
    <row r="193" spans="1:12" x14ac:dyDescent="0.25">
      <c r="A193" s="9" t="s">
        <v>153</v>
      </c>
      <c r="B193" s="85"/>
      <c r="C193" s="85"/>
      <c r="D193" s="85"/>
      <c r="E193" s="85"/>
      <c r="F193" s="85"/>
      <c r="G193" s="85">
        <f>$L$191</f>
        <v>9600</v>
      </c>
      <c r="H193" s="85">
        <f t="shared" ref="H193:I193" si="22">$L$191</f>
        <v>9600</v>
      </c>
      <c r="I193" s="91">
        <f t="shared" si="22"/>
        <v>9600</v>
      </c>
      <c r="K193" s="61" t="s">
        <v>129</v>
      </c>
      <c r="L193" s="66">
        <v>32000</v>
      </c>
    </row>
    <row r="194" spans="1:12" x14ac:dyDescent="0.25">
      <c r="A194" s="9" t="s">
        <v>167</v>
      </c>
      <c r="B194" s="85"/>
      <c r="C194" s="85"/>
      <c r="D194" s="85"/>
      <c r="E194" s="85"/>
      <c r="F194" s="85"/>
      <c r="G194" s="85">
        <f t="shared" ref="G194:I202" si="23">$L$190</f>
        <v>16640</v>
      </c>
      <c r="H194" s="85">
        <f t="shared" si="23"/>
        <v>16640</v>
      </c>
      <c r="I194" s="91">
        <f t="shared" si="23"/>
        <v>16640</v>
      </c>
    </row>
    <row r="195" spans="1:12" x14ac:dyDescent="0.25">
      <c r="A195" s="9" t="s">
        <v>153</v>
      </c>
      <c r="B195" s="85"/>
      <c r="C195" s="85"/>
      <c r="D195" s="85"/>
      <c r="E195" s="85"/>
      <c r="F195" s="85"/>
      <c r="G195" s="85">
        <f>$L$191</f>
        <v>9600</v>
      </c>
      <c r="H195" s="85">
        <f t="shared" ref="H195:I195" si="24">$L$191</f>
        <v>9600</v>
      </c>
      <c r="I195" s="91">
        <f t="shared" si="24"/>
        <v>9600</v>
      </c>
    </row>
    <row r="196" spans="1:12" x14ac:dyDescent="0.25">
      <c r="A196" s="9" t="s">
        <v>168</v>
      </c>
      <c r="B196" s="85"/>
      <c r="C196" s="85"/>
      <c r="D196" s="85"/>
      <c r="E196" s="85"/>
      <c r="F196" s="85"/>
      <c r="G196" s="85">
        <f t="shared" si="23"/>
        <v>16640</v>
      </c>
      <c r="H196" s="85">
        <f t="shared" si="23"/>
        <v>16640</v>
      </c>
      <c r="I196" s="91">
        <f t="shared" si="23"/>
        <v>16640</v>
      </c>
    </row>
    <row r="197" spans="1:12" x14ac:dyDescent="0.25">
      <c r="A197" s="9" t="s">
        <v>153</v>
      </c>
      <c r="B197" s="85"/>
      <c r="C197" s="85"/>
      <c r="D197" s="85"/>
      <c r="E197" s="85"/>
      <c r="F197" s="85"/>
      <c r="G197" s="85">
        <f>$L$191</f>
        <v>9600</v>
      </c>
      <c r="H197" s="85">
        <f t="shared" ref="H197:I197" si="25">$L$191</f>
        <v>9600</v>
      </c>
      <c r="I197" s="91">
        <f t="shared" si="25"/>
        <v>9600</v>
      </c>
    </row>
    <row r="198" spans="1:12" x14ac:dyDescent="0.25">
      <c r="A198" s="9" t="s">
        <v>169</v>
      </c>
      <c r="B198" s="85"/>
      <c r="C198" s="85"/>
      <c r="D198" s="85"/>
      <c r="E198" s="85"/>
      <c r="F198" s="85"/>
      <c r="G198" s="85">
        <f t="shared" si="23"/>
        <v>16640</v>
      </c>
      <c r="H198" s="85">
        <f t="shared" si="23"/>
        <v>16640</v>
      </c>
      <c r="I198" s="91">
        <f t="shared" si="23"/>
        <v>16640</v>
      </c>
    </row>
    <row r="199" spans="1:12" x14ac:dyDescent="0.25">
      <c r="A199" s="9" t="s">
        <v>153</v>
      </c>
      <c r="B199" s="85"/>
      <c r="C199" s="85"/>
      <c r="D199" s="85"/>
      <c r="E199" s="85"/>
      <c r="F199" s="85"/>
      <c r="G199" s="85">
        <f>$L$191</f>
        <v>9600</v>
      </c>
      <c r="H199" s="85">
        <f t="shared" ref="H199:I199" si="26">$L$191</f>
        <v>9600</v>
      </c>
      <c r="I199" s="91">
        <f t="shared" si="26"/>
        <v>9600</v>
      </c>
    </row>
    <row r="200" spans="1:12" x14ac:dyDescent="0.25">
      <c r="A200" s="9" t="s">
        <v>170</v>
      </c>
      <c r="B200" s="85"/>
      <c r="C200" s="85"/>
      <c r="D200" s="85"/>
      <c r="E200" s="85"/>
      <c r="F200" s="85"/>
      <c r="G200" s="85">
        <f t="shared" si="23"/>
        <v>16640</v>
      </c>
      <c r="H200" s="85">
        <f t="shared" si="23"/>
        <v>16640</v>
      </c>
      <c r="I200" s="91">
        <f t="shared" si="23"/>
        <v>16640</v>
      </c>
    </row>
    <row r="201" spans="1:12" x14ac:dyDescent="0.25">
      <c r="A201" s="9" t="s">
        <v>153</v>
      </c>
      <c r="B201" s="85"/>
      <c r="C201" s="85"/>
      <c r="D201" s="85"/>
      <c r="E201" s="85"/>
      <c r="F201" s="85"/>
      <c r="G201" s="85">
        <f>$L$191</f>
        <v>9600</v>
      </c>
      <c r="H201" s="85">
        <f t="shared" ref="H201:I201" si="27">$L$191</f>
        <v>9600</v>
      </c>
      <c r="I201" s="91">
        <f t="shared" si="27"/>
        <v>9600</v>
      </c>
    </row>
    <row r="202" spans="1:12" ht="14.25" customHeight="1" x14ac:dyDescent="0.25">
      <c r="A202" s="9" t="s">
        <v>171</v>
      </c>
      <c r="B202" s="85"/>
      <c r="C202" s="85"/>
      <c r="D202" s="85"/>
      <c r="E202" s="85"/>
      <c r="F202" s="85"/>
      <c r="G202" s="85">
        <f t="shared" si="23"/>
        <v>16640</v>
      </c>
      <c r="H202" s="85">
        <f t="shared" si="23"/>
        <v>16640</v>
      </c>
      <c r="I202" s="91">
        <f t="shared" si="23"/>
        <v>16640</v>
      </c>
    </row>
    <row r="203" spans="1:12" ht="14.25" customHeight="1" x14ac:dyDescent="0.25">
      <c r="A203" s="9" t="s">
        <v>153</v>
      </c>
      <c r="B203" s="85"/>
      <c r="C203" s="85"/>
      <c r="D203" s="85"/>
      <c r="E203" s="85"/>
      <c r="F203" s="85"/>
      <c r="G203" s="85">
        <f>$L$191</f>
        <v>9600</v>
      </c>
      <c r="H203" s="85">
        <f t="shared" ref="H203:I203" si="28">$L$191</f>
        <v>9600</v>
      </c>
      <c r="I203" s="91">
        <f t="shared" si="28"/>
        <v>9600</v>
      </c>
    </row>
    <row r="204" spans="1:12" x14ac:dyDescent="0.25">
      <c r="A204" s="63" t="s">
        <v>156</v>
      </c>
      <c r="B204" s="85"/>
      <c r="C204" s="85"/>
      <c r="D204" s="85"/>
      <c r="E204" s="85"/>
      <c r="F204" s="85"/>
      <c r="G204" s="86">
        <v>36000</v>
      </c>
      <c r="H204" s="85">
        <f t="shared" si="18"/>
        <v>36000</v>
      </c>
      <c r="I204" s="91">
        <f>+G204</f>
        <v>36000</v>
      </c>
    </row>
    <row r="205" spans="1:12" x14ac:dyDescent="0.25">
      <c r="A205" s="9" t="s">
        <v>172</v>
      </c>
      <c r="B205" s="85"/>
      <c r="C205" s="85"/>
      <c r="D205" s="85"/>
      <c r="E205" s="85"/>
      <c r="F205" s="85"/>
      <c r="G205" s="85">
        <f>$L$193</f>
        <v>32000</v>
      </c>
      <c r="H205" s="85">
        <f t="shared" ref="H205:I205" si="29">$L$193</f>
        <v>32000</v>
      </c>
      <c r="I205" s="91">
        <f t="shared" si="29"/>
        <v>32000</v>
      </c>
    </row>
    <row r="206" spans="1:12" x14ac:dyDescent="0.25">
      <c r="A206" s="9" t="s">
        <v>173</v>
      </c>
      <c r="B206" s="85"/>
      <c r="C206" s="85"/>
      <c r="D206" s="85"/>
      <c r="E206" s="85"/>
      <c r="F206" s="85"/>
      <c r="G206" s="85">
        <f t="shared" ref="G206:I223" si="30">$L$193</f>
        <v>32000</v>
      </c>
      <c r="H206" s="85">
        <f t="shared" si="30"/>
        <v>32000</v>
      </c>
      <c r="I206" s="91">
        <f t="shared" si="30"/>
        <v>32000</v>
      </c>
    </row>
    <row r="207" spans="1:12" x14ac:dyDescent="0.25">
      <c r="A207" s="9" t="s">
        <v>174</v>
      </c>
      <c r="B207" s="85"/>
      <c r="C207" s="85"/>
      <c r="D207" s="85"/>
      <c r="E207" s="85"/>
      <c r="F207" s="85"/>
      <c r="G207" s="85">
        <f>$L$193</f>
        <v>32000</v>
      </c>
      <c r="H207" s="85">
        <f t="shared" si="30"/>
        <v>32000</v>
      </c>
      <c r="I207" s="91">
        <f t="shared" si="30"/>
        <v>32000</v>
      </c>
    </row>
    <row r="208" spans="1:12" x14ac:dyDescent="0.25">
      <c r="A208" s="9" t="s">
        <v>175</v>
      </c>
      <c r="B208" s="85"/>
      <c r="C208" s="85"/>
      <c r="D208" s="85"/>
      <c r="E208" s="85"/>
      <c r="F208" s="85"/>
      <c r="G208" s="85">
        <f t="shared" si="30"/>
        <v>32000</v>
      </c>
      <c r="H208" s="85">
        <f t="shared" si="30"/>
        <v>32000</v>
      </c>
      <c r="I208" s="91">
        <f t="shared" si="30"/>
        <v>32000</v>
      </c>
    </row>
    <row r="209" spans="1:9" x14ac:dyDescent="0.25">
      <c r="A209" s="9" t="s">
        <v>176</v>
      </c>
      <c r="B209" s="85"/>
      <c r="C209" s="85"/>
      <c r="D209" s="85"/>
      <c r="E209" s="85"/>
      <c r="F209" s="85"/>
      <c r="G209" s="85">
        <f t="shared" si="30"/>
        <v>32000</v>
      </c>
      <c r="H209" s="85">
        <f t="shared" si="30"/>
        <v>32000</v>
      </c>
      <c r="I209" s="91">
        <f t="shared" si="30"/>
        <v>32000</v>
      </c>
    </row>
    <row r="210" spans="1:9" x14ac:dyDescent="0.25">
      <c r="A210" s="9" t="s">
        <v>55</v>
      </c>
      <c r="B210" s="85"/>
      <c r="C210" s="85"/>
      <c r="D210" s="85"/>
      <c r="E210" s="85"/>
      <c r="F210" s="85"/>
      <c r="G210" s="85">
        <f t="shared" si="30"/>
        <v>32000</v>
      </c>
      <c r="H210" s="85">
        <f t="shared" si="30"/>
        <v>32000</v>
      </c>
      <c r="I210" s="91">
        <f t="shared" si="30"/>
        <v>32000</v>
      </c>
    </row>
    <row r="211" spans="1:9" x14ac:dyDescent="0.25">
      <c r="A211" s="9" t="s">
        <v>56</v>
      </c>
      <c r="B211" s="85"/>
      <c r="C211" s="85"/>
      <c r="D211" s="85"/>
      <c r="E211" s="85"/>
      <c r="F211" s="85"/>
      <c r="G211" s="85">
        <f t="shared" si="30"/>
        <v>32000</v>
      </c>
      <c r="H211" s="85">
        <f t="shared" si="30"/>
        <v>32000</v>
      </c>
      <c r="I211" s="91">
        <f t="shared" si="30"/>
        <v>32000</v>
      </c>
    </row>
    <row r="212" spans="1:9" x14ac:dyDescent="0.25">
      <c r="A212" s="9" t="s">
        <v>177</v>
      </c>
      <c r="B212" s="85"/>
      <c r="C212" s="85"/>
      <c r="D212" s="85"/>
      <c r="E212" s="85"/>
      <c r="F212" s="85"/>
      <c r="G212" s="85">
        <f t="shared" si="30"/>
        <v>32000</v>
      </c>
      <c r="H212" s="85">
        <f t="shared" si="30"/>
        <v>32000</v>
      </c>
      <c r="I212" s="91">
        <f t="shared" si="30"/>
        <v>32000</v>
      </c>
    </row>
    <row r="213" spans="1:9" x14ac:dyDescent="0.25">
      <c r="A213" s="9" t="s">
        <v>178</v>
      </c>
      <c r="B213" s="85"/>
      <c r="C213" s="85"/>
      <c r="D213" s="85"/>
      <c r="E213" s="85"/>
      <c r="F213" s="85"/>
      <c r="G213" s="85">
        <f t="shared" si="30"/>
        <v>32000</v>
      </c>
      <c r="H213" s="85">
        <f t="shared" si="30"/>
        <v>32000</v>
      </c>
      <c r="I213" s="91">
        <f t="shared" si="30"/>
        <v>32000</v>
      </c>
    </row>
    <row r="214" spans="1:9" x14ac:dyDescent="0.25">
      <c r="A214" s="35" t="s">
        <v>179</v>
      </c>
      <c r="B214" s="85"/>
      <c r="C214" s="85"/>
      <c r="D214" s="85"/>
      <c r="E214" s="85"/>
      <c r="F214" s="85"/>
      <c r="G214" s="85">
        <f t="shared" si="30"/>
        <v>32000</v>
      </c>
      <c r="H214" s="85">
        <f t="shared" si="30"/>
        <v>32000</v>
      </c>
      <c r="I214" s="91">
        <f t="shared" si="30"/>
        <v>32000</v>
      </c>
    </row>
    <row r="215" spans="1:9" x14ac:dyDescent="0.25">
      <c r="A215" s="35" t="s">
        <v>180</v>
      </c>
      <c r="B215" s="85"/>
      <c r="C215" s="85"/>
      <c r="D215" s="85"/>
      <c r="E215" s="85"/>
      <c r="F215" s="85"/>
      <c r="G215" s="85">
        <f t="shared" si="30"/>
        <v>32000</v>
      </c>
      <c r="H215" s="85">
        <f t="shared" si="30"/>
        <v>32000</v>
      </c>
      <c r="I215" s="91">
        <f t="shared" si="30"/>
        <v>32000</v>
      </c>
    </row>
    <row r="216" spans="1:9" x14ac:dyDescent="0.25">
      <c r="A216" s="35" t="s">
        <v>181</v>
      </c>
      <c r="B216" s="85"/>
      <c r="C216" s="85"/>
      <c r="D216" s="85"/>
      <c r="E216" s="85"/>
      <c r="F216" s="85"/>
      <c r="G216" s="85">
        <f t="shared" si="30"/>
        <v>32000</v>
      </c>
      <c r="H216" s="85">
        <f t="shared" si="30"/>
        <v>32000</v>
      </c>
      <c r="I216" s="91">
        <f t="shared" si="30"/>
        <v>32000</v>
      </c>
    </row>
    <row r="217" spans="1:9" x14ac:dyDescent="0.25">
      <c r="A217" s="35" t="s">
        <v>182</v>
      </c>
      <c r="B217" s="85"/>
      <c r="C217" s="85"/>
      <c r="D217" s="85"/>
      <c r="E217" s="85"/>
      <c r="F217" s="85"/>
      <c r="G217" s="85">
        <f t="shared" si="30"/>
        <v>32000</v>
      </c>
      <c r="H217" s="85">
        <f t="shared" si="30"/>
        <v>32000</v>
      </c>
      <c r="I217" s="91">
        <f t="shared" si="30"/>
        <v>32000</v>
      </c>
    </row>
    <row r="218" spans="1:9" x14ac:dyDescent="0.25">
      <c r="A218" s="35" t="s">
        <v>183</v>
      </c>
      <c r="B218" s="85"/>
      <c r="C218" s="85"/>
      <c r="D218" s="85"/>
      <c r="E218" s="85"/>
      <c r="F218" s="85"/>
      <c r="G218" s="85">
        <f t="shared" si="30"/>
        <v>32000</v>
      </c>
      <c r="H218" s="85">
        <f t="shared" si="30"/>
        <v>32000</v>
      </c>
      <c r="I218" s="91">
        <f t="shared" si="30"/>
        <v>32000</v>
      </c>
    </row>
    <row r="219" spans="1:9" x14ac:dyDescent="0.25">
      <c r="A219" s="35" t="s">
        <v>53</v>
      </c>
      <c r="B219" s="85"/>
      <c r="C219" s="85"/>
      <c r="D219" s="85"/>
      <c r="E219" s="85"/>
      <c r="F219" s="85"/>
      <c r="G219" s="85">
        <f t="shared" si="30"/>
        <v>32000</v>
      </c>
      <c r="H219" s="85">
        <f t="shared" si="30"/>
        <v>32000</v>
      </c>
      <c r="I219" s="91">
        <f t="shared" si="30"/>
        <v>32000</v>
      </c>
    </row>
    <row r="220" spans="1:9" x14ac:dyDescent="0.25">
      <c r="A220" s="35" t="s">
        <v>184</v>
      </c>
      <c r="B220" s="85"/>
      <c r="C220" s="85"/>
      <c r="D220" s="85"/>
      <c r="E220" s="85"/>
      <c r="F220" s="85"/>
      <c r="G220" s="85">
        <f t="shared" si="30"/>
        <v>32000</v>
      </c>
      <c r="H220" s="85">
        <f t="shared" si="30"/>
        <v>32000</v>
      </c>
      <c r="I220" s="91">
        <f t="shared" si="30"/>
        <v>32000</v>
      </c>
    </row>
    <row r="221" spans="1:9" x14ac:dyDescent="0.25">
      <c r="A221" s="63" t="s">
        <v>185</v>
      </c>
      <c r="B221" s="85"/>
      <c r="C221" s="85"/>
      <c r="D221" s="85"/>
      <c r="E221" s="85"/>
      <c r="F221" s="85"/>
      <c r="G221" s="86">
        <v>35000</v>
      </c>
      <c r="H221" s="85">
        <f>+G221</f>
        <v>35000</v>
      </c>
      <c r="I221" s="91">
        <f>+G221</f>
        <v>35000</v>
      </c>
    </row>
    <row r="222" spans="1:9" x14ac:dyDescent="0.25">
      <c r="A222" s="35" t="s">
        <v>186</v>
      </c>
      <c r="B222" s="85"/>
      <c r="C222" s="85"/>
      <c r="D222" s="85"/>
      <c r="E222" s="85"/>
      <c r="F222" s="85"/>
      <c r="G222" s="85">
        <f t="shared" si="30"/>
        <v>32000</v>
      </c>
      <c r="H222" s="85">
        <f t="shared" si="30"/>
        <v>32000</v>
      </c>
      <c r="I222" s="91">
        <f t="shared" si="30"/>
        <v>32000</v>
      </c>
    </row>
    <row r="223" spans="1:9" x14ac:dyDescent="0.25">
      <c r="A223" s="35" t="s">
        <v>187</v>
      </c>
      <c r="B223" s="85"/>
      <c r="C223" s="85"/>
      <c r="D223" s="85"/>
      <c r="E223" s="85"/>
      <c r="F223" s="85"/>
      <c r="G223" s="85">
        <f t="shared" si="30"/>
        <v>32000</v>
      </c>
      <c r="H223" s="85">
        <f t="shared" si="30"/>
        <v>32000</v>
      </c>
      <c r="I223" s="91">
        <f t="shared" si="30"/>
        <v>32000</v>
      </c>
    </row>
    <row r="224" spans="1:9" x14ac:dyDescent="0.25">
      <c r="A224" s="35" t="s">
        <v>188</v>
      </c>
      <c r="B224" s="85"/>
      <c r="C224" s="85"/>
      <c r="D224" s="85"/>
      <c r="E224" s="85"/>
      <c r="F224" s="85"/>
      <c r="G224" s="85">
        <f t="shared" ref="G224:I225" si="31">$L$193</f>
        <v>32000</v>
      </c>
      <c r="H224" s="85">
        <f t="shared" si="31"/>
        <v>32000</v>
      </c>
      <c r="I224" s="91">
        <f t="shared" si="31"/>
        <v>32000</v>
      </c>
    </row>
    <row r="225" spans="1:12" x14ac:dyDescent="0.25">
      <c r="A225" s="9" t="s">
        <v>189</v>
      </c>
      <c r="B225" s="85"/>
      <c r="C225" s="85"/>
      <c r="D225" s="85"/>
      <c r="E225" s="85"/>
      <c r="F225" s="85"/>
      <c r="G225" s="85">
        <f t="shared" si="31"/>
        <v>32000</v>
      </c>
      <c r="H225" s="85">
        <f t="shared" si="31"/>
        <v>32000</v>
      </c>
      <c r="I225" s="91">
        <f t="shared" si="31"/>
        <v>32000</v>
      </c>
    </row>
    <row r="226" spans="1:12" x14ac:dyDescent="0.25">
      <c r="A226" s="9" t="s">
        <v>155</v>
      </c>
      <c r="B226" s="85"/>
      <c r="C226" s="85"/>
      <c r="D226" s="85"/>
      <c r="E226" s="85"/>
      <c r="F226" s="85"/>
      <c r="G226" s="85">
        <v>78000</v>
      </c>
      <c r="H226" s="85">
        <f t="shared" si="18"/>
        <v>78000</v>
      </c>
      <c r="I226" s="91">
        <f t="shared" si="18"/>
        <v>78000</v>
      </c>
    </row>
    <row r="227" spans="1:12" x14ac:dyDescent="0.25">
      <c r="A227" s="9" t="s">
        <v>157</v>
      </c>
      <c r="B227" s="85"/>
      <c r="C227" s="85"/>
      <c r="D227" s="85"/>
      <c r="E227" s="85"/>
      <c r="F227" s="85"/>
      <c r="G227" s="85">
        <v>60000</v>
      </c>
      <c r="H227" s="85">
        <f t="shared" si="18"/>
        <v>60000</v>
      </c>
      <c r="I227" s="91">
        <f t="shared" si="18"/>
        <v>60000</v>
      </c>
    </row>
    <row r="228" spans="1:12" x14ac:dyDescent="0.25">
      <c r="A228" s="63" t="s">
        <v>158</v>
      </c>
      <c r="B228" s="85"/>
      <c r="C228" s="85"/>
      <c r="D228" s="85"/>
      <c r="E228" s="85"/>
      <c r="F228" s="85"/>
      <c r="G228" s="86">
        <v>100000</v>
      </c>
      <c r="H228" s="85">
        <f t="shared" si="18"/>
        <v>100000</v>
      </c>
      <c r="I228" s="91">
        <f t="shared" si="18"/>
        <v>100000</v>
      </c>
    </row>
    <row r="229" spans="1:12" x14ac:dyDescent="0.25">
      <c r="A229" s="63" t="s">
        <v>159</v>
      </c>
      <c r="B229" s="85"/>
      <c r="C229" s="85"/>
      <c r="D229" s="85"/>
      <c r="E229" s="85"/>
      <c r="F229" s="85"/>
      <c r="G229" s="86">
        <v>75000</v>
      </c>
      <c r="H229" s="85">
        <f t="shared" si="18"/>
        <v>75000</v>
      </c>
      <c r="I229" s="91">
        <f t="shared" si="18"/>
        <v>75000</v>
      </c>
    </row>
    <row r="230" spans="1:12" x14ac:dyDescent="0.25">
      <c r="A230" s="9" t="s">
        <v>190</v>
      </c>
      <c r="B230" s="85"/>
      <c r="C230" s="85"/>
      <c r="D230" s="85"/>
      <c r="E230" s="85"/>
      <c r="F230" s="85"/>
      <c r="G230" s="85">
        <f>+$L$232</f>
        <v>106880</v>
      </c>
      <c r="H230" s="85">
        <f t="shared" ref="H230:I245" si="32">+$L$232</f>
        <v>106880</v>
      </c>
      <c r="I230" s="91">
        <f t="shared" si="32"/>
        <v>106880</v>
      </c>
    </row>
    <row r="231" spans="1:12" x14ac:dyDescent="0.25">
      <c r="A231" s="9" t="s">
        <v>191</v>
      </c>
      <c r="B231" s="85"/>
      <c r="C231" s="85"/>
      <c r="D231" s="85"/>
      <c r="E231" s="85"/>
      <c r="F231" s="85"/>
      <c r="G231" s="85">
        <f t="shared" ref="G231:I246" si="33">+$L$232</f>
        <v>106880</v>
      </c>
      <c r="H231" s="85">
        <f t="shared" si="32"/>
        <v>106880</v>
      </c>
      <c r="I231" s="91">
        <f t="shared" si="32"/>
        <v>106880</v>
      </c>
    </row>
    <row r="232" spans="1:12" x14ac:dyDescent="0.25">
      <c r="A232" s="9" t="s">
        <v>192</v>
      </c>
      <c r="B232" s="85"/>
      <c r="C232" s="85"/>
      <c r="D232" s="85"/>
      <c r="E232" s="85"/>
      <c r="F232" s="85"/>
      <c r="G232" s="85">
        <f t="shared" si="33"/>
        <v>106880</v>
      </c>
      <c r="H232" s="85">
        <f t="shared" si="32"/>
        <v>106880</v>
      </c>
      <c r="I232" s="91">
        <f t="shared" si="32"/>
        <v>106880</v>
      </c>
      <c r="K232" s="61" t="s">
        <v>207</v>
      </c>
      <c r="L232" s="66">
        <v>106880</v>
      </c>
    </row>
    <row r="233" spans="1:12" x14ac:dyDescent="0.25">
      <c r="A233" s="9" t="s">
        <v>193</v>
      </c>
      <c r="B233" s="85"/>
      <c r="C233" s="85"/>
      <c r="D233" s="85"/>
      <c r="E233" s="85"/>
      <c r="F233" s="85"/>
      <c r="G233" s="85">
        <f t="shared" si="33"/>
        <v>106880</v>
      </c>
      <c r="H233" s="85">
        <f t="shared" si="32"/>
        <v>106880</v>
      </c>
      <c r="I233" s="91">
        <f t="shared" si="32"/>
        <v>106880</v>
      </c>
    </row>
    <row r="234" spans="1:12" x14ac:dyDescent="0.25">
      <c r="A234" s="9" t="s">
        <v>194</v>
      </c>
      <c r="B234" s="85"/>
      <c r="C234" s="85"/>
      <c r="D234" s="85"/>
      <c r="E234" s="85"/>
      <c r="F234" s="85"/>
      <c r="G234" s="85">
        <f t="shared" si="33"/>
        <v>106880</v>
      </c>
      <c r="H234" s="85">
        <f t="shared" si="32"/>
        <v>106880</v>
      </c>
      <c r="I234" s="91">
        <f t="shared" si="32"/>
        <v>106880</v>
      </c>
    </row>
    <row r="235" spans="1:12" x14ac:dyDescent="0.25">
      <c r="A235" s="9" t="s">
        <v>206</v>
      </c>
      <c r="B235" s="85"/>
      <c r="C235" s="85"/>
      <c r="D235" s="85"/>
      <c r="E235" s="85"/>
      <c r="F235" s="85"/>
      <c r="G235" s="85">
        <f t="shared" si="33"/>
        <v>106880</v>
      </c>
      <c r="H235" s="85">
        <f t="shared" si="32"/>
        <v>106880</v>
      </c>
      <c r="I235" s="91">
        <f t="shared" si="32"/>
        <v>106880</v>
      </c>
    </row>
    <row r="236" spans="1:12" x14ac:dyDescent="0.25">
      <c r="A236" s="9" t="s">
        <v>195</v>
      </c>
      <c r="B236" s="85"/>
      <c r="C236" s="85"/>
      <c r="D236" s="85"/>
      <c r="E236" s="85"/>
      <c r="F236" s="85"/>
      <c r="G236" s="85">
        <f t="shared" si="33"/>
        <v>106880</v>
      </c>
      <c r="H236" s="85">
        <f t="shared" si="32"/>
        <v>106880</v>
      </c>
      <c r="I236" s="91">
        <f t="shared" si="32"/>
        <v>106880</v>
      </c>
    </row>
    <row r="237" spans="1:12" x14ac:dyDescent="0.25">
      <c r="A237" s="9" t="s">
        <v>196</v>
      </c>
      <c r="B237" s="85"/>
      <c r="C237" s="85"/>
      <c r="D237" s="85"/>
      <c r="E237" s="85"/>
      <c r="F237" s="85"/>
      <c r="G237" s="85">
        <f t="shared" si="33"/>
        <v>106880</v>
      </c>
      <c r="H237" s="85">
        <f t="shared" si="32"/>
        <v>106880</v>
      </c>
      <c r="I237" s="91">
        <f t="shared" si="32"/>
        <v>106880</v>
      </c>
    </row>
    <row r="238" spans="1:12" x14ac:dyDescent="0.25">
      <c r="A238" s="9" t="s">
        <v>197</v>
      </c>
      <c r="B238" s="85"/>
      <c r="C238" s="85"/>
      <c r="D238" s="85"/>
      <c r="E238" s="85"/>
      <c r="F238" s="85"/>
      <c r="G238" s="85">
        <f t="shared" si="33"/>
        <v>106880</v>
      </c>
      <c r="H238" s="85">
        <f t="shared" si="32"/>
        <v>106880</v>
      </c>
      <c r="I238" s="91">
        <f t="shared" si="32"/>
        <v>106880</v>
      </c>
    </row>
    <row r="239" spans="1:12" x14ac:dyDescent="0.25">
      <c r="A239" s="9" t="s">
        <v>198</v>
      </c>
      <c r="B239" s="85"/>
      <c r="C239" s="85"/>
      <c r="D239" s="85"/>
      <c r="E239" s="85"/>
      <c r="F239" s="85"/>
      <c r="G239" s="85">
        <f t="shared" si="33"/>
        <v>106880</v>
      </c>
      <c r="H239" s="85">
        <f t="shared" si="32"/>
        <v>106880</v>
      </c>
      <c r="I239" s="91">
        <f t="shared" si="32"/>
        <v>106880</v>
      </c>
    </row>
    <row r="240" spans="1:12" x14ac:dyDescent="0.25">
      <c r="A240" s="9" t="s">
        <v>199</v>
      </c>
      <c r="B240" s="85"/>
      <c r="C240" s="85"/>
      <c r="D240" s="85"/>
      <c r="E240" s="85"/>
      <c r="F240" s="85"/>
      <c r="G240" s="85">
        <f t="shared" si="33"/>
        <v>106880</v>
      </c>
      <c r="H240" s="85">
        <f t="shared" si="32"/>
        <v>106880</v>
      </c>
      <c r="I240" s="91">
        <f t="shared" si="32"/>
        <v>106880</v>
      </c>
    </row>
    <row r="241" spans="1:9" x14ac:dyDescent="0.25">
      <c r="A241" s="9" t="s">
        <v>200</v>
      </c>
      <c r="B241" s="85"/>
      <c r="C241" s="85"/>
      <c r="D241" s="85"/>
      <c r="E241" s="85"/>
      <c r="F241" s="85"/>
      <c r="G241" s="85">
        <f t="shared" si="33"/>
        <v>106880</v>
      </c>
      <c r="H241" s="85">
        <f t="shared" si="32"/>
        <v>106880</v>
      </c>
      <c r="I241" s="91">
        <f t="shared" si="32"/>
        <v>106880</v>
      </c>
    </row>
    <row r="242" spans="1:9" x14ac:dyDescent="0.25">
      <c r="A242" s="9" t="s">
        <v>201</v>
      </c>
      <c r="B242" s="85"/>
      <c r="C242" s="85"/>
      <c r="D242" s="85"/>
      <c r="E242" s="85"/>
      <c r="F242" s="85"/>
      <c r="G242" s="85">
        <f t="shared" si="33"/>
        <v>106880</v>
      </c>
      <c r="H242" s="85">
        <f t="shared" si="32"/>
        <v>106880</v>
      </c>
      <c r="I242" s="91">
        <f t="shared" si="32"/>
        <v>106880</v>
      </c>
    </row>
    <row r="243" spans="1:9" x14ac:dyDescent="0.25">
      <c r="A243" s="9" t="s">
        <v>202</v>
      </c>
      <c r="B243" s="85"/>
      <c r="C243" s="85"/>
      <c r="D243" s="85"/>
      <c r="E243" s="85"/>
      <c r="F243" s="85"/>
      <c r="G243" s="85">
        <f t="shared" si="33"/>
        <v>106880</v>
      </c>
      <c r="H243" s="85">
        <f t="shared" si="32"/>
        <v>106880</v>
      </c>
      <c r="I243" s="91">
        <f t="shared" si="32"/>
        <v>106880</v>
      </c>
    </row>
    <row r="244" spans="1:9" x14ac:dyDescent="0.25">
      <c r="A244" s="9" t="s">
        <v>203</v>
      </c>
      <c r="B244" s="85"/>
      <c r="C244" s="85"/>
      <c r="D244" s="85"/>
      <c r="E244" s="85"/>
      <c r="F244" s="85"/>
      <c r="G244" s="85">
        <f t="shared" si="33"/>
        <v>106880</v>
      </c>
      <c r="H244" s="85">
        <f t="shared" si="32"/>
        <v>106880</v>
      </c>
      <c r="I244" s="91">
        <f t="shared" si="32"/>
        <v>106880</v>
      </c>
    </row>
    <row r="245" spans="1:9" x14ac:dyDescent="0.25">
      <c r="A245" s="9" t="s">
        <v>204</v>
      </c>
      <c r="B245" s="85"/>
      <c r="C245" s="85"/>
      <c r="D245" s="85"/>
      <c r="E245" s="85"/>
      <c r="F245" s="85"/>
      <c r="G245" s="85">
        <f t="shared" si="33"/>
        <v>106880</v>
      </c>
      <c r="H245" s="85">
        <f t="shared" si="32"/>
        <v>106880</v>
      </c>
      <c r="I245" s="91">
        <f t="shared" si="32"/>
        <v>106880</v>
      </c>
    </row>
    <row r="246" spans="1:9" ht="15.75" thickBot="1" x14ac:dyDescent="0.3">
      <c r="A246" s="104" t="s">
        <v>205</v>
      </c>
      <c r="B246" s="105"/>
      <c r="C246" s="105"/>
      <c r="D246" s="105"/>
      <c r="E246" s="105"/>
      <c r="F246" s="105"/>
      <c r="G246" s="105">
        <f t="shared" si="33"/>
        <v>106880</v>
      </c>
      <c r="H246" s="105">
        <f t="shared" si="33"/>
        <v>106880</v>
      </c>
      <c r="I246" s="106">
        <f t="shared" si="33"/>
        <v>106880</v>
      </c>
    </row>
    <row r="247" spans="1:9" ht="16.5" thickBot="1" x14ac:dyDescent="0.3">
      <c r="A247" s="87" t="s">
        <v>6</v>
      </c>
      <c r="B247" s="121"/>
      <c r="C247" s="122"/>
      <c r="D247" s="122"/>
      <c r="E247" s="95"/>
      <c r="F247" s="95"/>
      <c r="G247" s="95" t="s">
        <v>95</v>
      </c>
      <c r="H247" s="96" t="s">
        <v>96</v>
      </c>
      <c r="I247" s="96" t="s">
        <v>124</v>
      </c>
    </row>
    <row r="248" spans="1:9" ht="15.75" thickBot="1" x14ac:dyDescent="0.3">
      <c r="A248" s="22" t="s">
        <v>38</v>
      </c>
      <c r="B248" s="108"/>
      <c r="C248" s="108"/>
      <c r="D248" s="108"/>
      <c r="E248" s="108"/>
      <c r="F248" s="108"/>
      <c r="G248" s="107">
        <v>40000</v>
      </c>
      <c r="H248" s="108">
        <f>+G248</f>
        <v>40000</v>
      </c>
      <c r="I248" s="109">
        <f>+G248</f>
        <v>40000</v>
      </c>
    </row>
    <row r="249" spans="1:9" ht="16.5" thickBot="1" x14ac:dyDescent="0.3">
      <c r="A249" s="87" t="s">
        <v>209</v>
      </c>
      <c r="B249" s="121"/>
      <c r="C249" s="95"/>
      <c r="D249" s="95"/>
      <c r="E249" s="95"/>
      <c r="F249" s="95" t="s">
        <v>94</v>
      </c>
      <c r="G249" s="95" t="s">
        <v>95</v>
      </c>
      <c r="H249" s="95" t="s">
        <v>96</v>
      </c>
      <c r="I249" s="96" t="s">
        <v>124</v>
      </c>
    </row>
    <row r="250" spans="1:9" ht="15.75" x14ac:dyDescent="0.25">
      <c r="A250" s="23" t="s">
        <v>135</v>
      </c>
      <c r="B250" s="84"/>
      <c r="C250" s="84"/>
      <c r="D250" s="84"/>
      <c r="E250" s="84"/>
      <c r="F250" s="102">
        <v>15000</v>
      </c>
      <c r="G250" s="102">
        <v>15000</v>
      </c>
      <c r="H250" s="84">
        <f>+$G$250</f>
        <v>15000</v>
      </c>
      <c r="I250" s="103">
        <f>+$G$250</f>
        <v>15000</v>
      </c>
    </row>
    <row r="251" spans="1:9" ht="15.75" x14ac:dyDescent="0.25">
      <c r="A251" s="23" t="s">
        <v>136</v>
      </c>
      <c r="B251" s="82"/>
      <c r="C251" s="82"/>
      <c r="D251" s="82"/>
      <c r="E251" s="82"/>
      <c r="F251" s="83">
        <v>18000</v>
      </c>
      <c r="G251" s="83">
        <v>15000</v>
      </c>
      <c r="H251" s="82">
        <f>+G251</f>
        <v>15000</v>
      </c>
      <c r="I251" s="98">
        <f>+G251</f>
        <v>15000</v>
      </c>
    </row>
    <row r="252" spans="1:9" ht="15.75" x14ac:dyDescent="0.25">
      <c r="A252" s="23" t="s">
        <v>137</v>
      </c>
      <c r="B252" s="82"/>
      <c r="C252" s="82"/>
      <c r="D252" s="82"/>
      <c r="E252" s="82"/>
      <c r="F252" s="83">
        <v>18000</v>
      </c>
      <c r="G252" s="83">
        <v>15000</v>
      </c>
      <c r="H252" s="82">
        <f>+G252</f>
        <v>15000</v>
      </c>
      <c r="I252" s="98">
        <f>+G252</f>
        <v>15000</v>
      </c>
    </row>
    <row r="253" spans="1:9" ht="15.75" x14ac:dyDescent="0.25">
      <c r="A253" s="23" t="s">
        <v>208</v>
      </c>
      <c r="B253" s="82"/>
      <c r="C253" s="82"/>
      <c r="D253" s="82"/>
      <c r="E253" s="82"/>
      <c r="F253" s="82"/>
      <c r="G253" s="83">
        <v>20000</v>
      </c>
      <c r="H253" s="82">
        <f>+G253</f>
        <v>20000</v>
      </c>
      <c r="I253" s="98">
        <f>+G253</f>
        <v>20000</v>
      </c>
    </row>
    <row r="254" spans="1:9" ht="16.5" thickBot="1" x14ac:dyDescent="0.3">
      <c r="A254" s="22" t="s">
        <v>138</v>
      </c>
      <c r="B254" s="100"/>
      <c r="C254" s="100"/>
      <c r="D254" s="100"/>
      <c r="E254" s="100"/>
      <c r="F254" s="100"/>
      <c r="G254" s="99">
        <v>20000</v>
      </c>
      <c r="H254" s="100">
        <f>+G254</f>
        <v>20000</v>
      </c>
      <c r="I254" s="101">
        <f>+G254</f>
        <v>20000</v>
      </c>
    </row>
    <row r="255" spans="1:9" ht="16.5" thickBot="1" x14ac:dyDescent="0.3">
      <c r="A255" s="87" t="s">
        <v>229</v>
      </c>
      <c r="B255" s="121"/>
      <c r="C255" s="95"/>
      <c r="D255" s="95"/>
      <c r="E255" s="95"/>
      <c r="F255" s="95" t="s">
        <v>94</v>
      </c>
      <c r="G255" s="95" t="s">
        <v>95</v>
      </c>
      <c r="H255" s="95" t="s">
        <v>96</v>
      </c>
      <c r="I255" s="96" t="s">
        <v>124</v>
      </c>
    </row>
    <row r="256" spans="1:9" ht="15.75" x14ac:dyDescent="0.25">
      <c r="A256" s="23" t="s">
        <v>230</v>
      </c>
      <c r="B256" s="84"/>
      <c r="C256" s="84"/>
      <c r="D256" s="84"/>
      <c r="E256" s="84"/>
      <c r="F256" s="102"/>
      <c r="G256" s="102">
        <v>35000</v>
      </c>
      <c r="H256" s="84">
        <f>+G256</f>
        <v>35000</v>
      </c>
      <c r="I256" s="103">
        <f>+G256</f>
        <v>35000</v>
      </c>
    </row>
    <row r="257" spans="1:9" ht="15.75" x14ac:dyDescent="0.25">
      <c r="A257" s="23" t="s">
        <v>231</v>
      </c>
      <c r="B257" s="82"/>
      <c r="C257" s="82"/>
      <c r="D257" s="82"/>
      <c r="E257" s="82"/>
      <c r="F257" s="83"/>
      <c r="G257" s="83">
        <v>35000</v>
      </c>
      <c r="H257" s="82">
        <f>+G257</f>
        <v>35000</v>
      </c>
      <c r="I257" s="98">
        <f>+G257</f>
        <v>35000</v>
      </c>
    </row>
  </sheetData>
  <mergeCells count="1">
    <mergeCell ref="B1:H1"/>
  </mergeCells>
  <pageMargins left="0" right="0" top="0" bottom="0" header="0.31496062992125984" footer="0.31496062992125984"/>
  <pageSetup paperSize="9" scale="8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JUNIO 2026</vt:lpstr>
      <vt:lpstr>'JUNIO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Turno PB1</dc:creator>
  <cp:lastModifiedBy>usuario</cp:lastModifiedBy>
  <cp:lastPrinted>2026-08-18T12:30:19Z</cp:lastPrinted>
  <dcterms:created xsi:type="dcterms:W3CDTF">2021-06-15T15:34:03Z</dcterms:created>
  <dcterms:modified xsi:type="dcterms:W3CDTF">2026-09-14T17:43:12Z</dcterms:modified>
</cp:coreProperties>
</file>
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2" l="1"/>
  <c r="H83" i="2"/>
  <c r="H82" i="2"/>
  <c r="H109" i="2" l="1"/>
  <c r="G109" i="2"/>
  <c r="H108" i="2"/>
  <c r="G108" i="2"/>
  <c r="H107" i="2"/>
  <c r="G107" i="2"/>
  <c r="H106" i="2"/>
  <c r="G106" i="2"/>
  <c r="H105" i="2"/>
  <c r="G105" i="2"/>
  <c r="H103" i="2"/>
  <c r="G103" i="2"/>
  <c r="H102" i="2"/>
  <c r="G102" i="2"/>
  <c r="H101" i="2"/>
  <c r="G101" i="2"/>
  <c r="H100" i="2"/>
  <c r="G100" i="2"/>
  <c r="H99" i="2"/>
  <c r="G99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4" i="2"/>
  <c r="F23" i="2"/>
  <c r="E23" i="2"/>
  <c r="H86" i="2"/>
  <c r="H85" i="2"/>
  <c r="H81" i="2"/>
  <c r="H80" i="2"/>
  <c r="H78" i="2"/>
  <c r="H77" i="2"/>
  <c r="H76" i="2"/>
  <c r="H75" i="2"/>
  <c r="H79" i="2"/>
  <c r="E74" i="2"/>
  <c r="F74" i="2"/>
  <c r="G74" i="2"/>
  <c r="H74" i="2"/>
  <c r="H73" i="2"/>
  <c r="H72" i="2"/>
  <c r="H71" i="2"/>
  <c r="H70" i="2"/>
  <c r="G73" i="2"/>
  <c r="G72" i="2"/>
  <c r="G71" i="2"/>
  <c r="G70" i="2"/>
  <c r="F73" i="2"/>
  <c r="F72" i="2"/>
  <c r="F71" i="2"/>
  <c r="F70" i="2"/>
  <c r="E73" i="2"/>
  <c r="E72" i="2"/>
  <c r="E71" i="2"/>
  <c r="E70" i="2"/>
  <c r="H69" i="2"/>
  <c r="H68" i="2"/>
  <c r="H67" i="2"/>
  <c r="H66" i="2"/>
  <c r="H65" i="2"/>
  <c r="H64" i="2"/>
  <c r="H63" i="2"/>
  <c r="H62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<sst xmlns="http://schemas.openxmlformats.org/spreadsheetml/2006/main" count="415" uniqueCount="226">
  <si>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</si>
  <si>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</si>
  <si>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</si>
  <si>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</si>
  <si>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</si>
  <si>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</si>
  <si>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</si>
  <si>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</si>
  <si>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</si>
  <si>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</si>
  <si>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</si>
  <si>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</si>
  <si>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</si>
  <si>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</si>
  <si>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</si>
  <si>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</si>
  <si>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</si>
  <si>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</si>
  <si>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</si>
  <si>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</si>
  <si>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</si>
  <si>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</si>
  <si>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</si>
  <si>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</si>
  <si>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</si>
  <si>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</si>
  <si>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</si>
  <si>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</si>
  <si>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</si>
  <si>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</si>
  <si>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</si>
  <si>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</si>
  <si>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</si>
  <si>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</si>
  <si>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</si>
  <si>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</si>
  <si>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</si>
  <si>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</si>
  <si>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</si>
  <si>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</si>
  <si>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</si>
  <si>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</si>
  <si>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</si>
  <si>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</si>
  <si>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</si>
  <si>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</si>
  <si>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</si>
  <si>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</si>
  <si>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</si>
  <si>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</si>
  <si>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</si>
  <si>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</si>
  <si>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</si>
  <si>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</si>
  <si>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</si>
  <si>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</si>
  <si>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</si>
  <si>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</si>
  <si>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</si>
  <si>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</si>
  <si>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</si>
  <si>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</si>
  <si>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</si>
  <si>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</si>
  <si>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</si>
  <si>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</si>
  <si>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</si>
  <si>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</si>
  <si>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</si>
  <si>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</si>
  <si>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</si>
  <si>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</si>
  <si>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</si>
  <si>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</si>
  <si>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</si>
  <si>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</si>
  <si>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</si>
  <si>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</si>
  <si>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</si>
  <si>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</si>
  <si>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</si>
  <si>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</si>
  <si>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</si>
  <si>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</si>
  <si>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</si>
  <si>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</si>
  <si>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</si>
  <si>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</si>
  <si>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</si>
  <si>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</si>
  <si>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</si>
  <si>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</si>
  <si>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</si>
  <si>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</si>
  <si>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</si>
  <si>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</si>
  <si>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</si>
  <si>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</si>
  <si>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</si>
  <si>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</si>
  <si>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</si>
  <si>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</si>
  <si>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</si>
  <si>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</si>
  <si>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</si>
  <si>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</si>
  <si>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</si>
  <si>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</si>
  <si>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</si>
  <si>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</si>
  <si>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</si>
  <si>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</si>
  <si>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</si>
  <si>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</si>
  <si>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</si>
  <si>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</si>
  <si>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</si>
  <si>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</si>
  <si>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</si>
  <si>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</si>
  <si>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</si>
  <si>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</si>
  <si>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</si>
  <si>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</si>
  <si>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</si>
  <si>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</si>
  <si>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</si>
  <si>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</si>
  <si>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</si>
  <si>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</si>
  <si>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</si>
  <si>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</si>
  <si>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</si>
  <si>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</si>
  <si>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</si>
  <si>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</si>
  <si>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</si>
  <si>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</si>
  <si>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</si>
  <si>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</si>
  <si>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</si>
  <si>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</si>
  <si>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</si>
  <si>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</si>
  <si>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</si>
  <si>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</si>
  <si>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</si>
  <si>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</si>
  <si>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</si>
  <si>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</si>
  <si>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</si>
  <si>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</si>
  <si>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</si>
  <si>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</si>
  <si>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</si>
  <si>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</si>
  <si>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</si>
  <si>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</si>
  <si>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</si>
  <si>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</si>
  <si>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</si>
  <si>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</si>
  <si>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</si>
  <si>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</si>
  <si>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</si>
  <si>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</si>
  <si>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</si>
  <si>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</si>
  <si>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</si>
  <si>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</si>
  <si>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</si>
  <si>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</si>
  <si>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</si>
  <si>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</si>
  <si>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</si>
  <si>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</si>
  <si>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</si>
  <si>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</si>
  <si>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</si>
  <si>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</si>
  <si>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</si>
  <si>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</si>
  <si>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</si>
  <si>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</si>
  <si>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</si>
  <si>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</si>
  <si>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</si>
  <si>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</si>
  <si>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</si>
  <si>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</si>
  <si>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</si>
  <si>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</si>
  <si>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</si>
  <si>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</si>
  <si>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</si>
  <si>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</si>
  <si>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</si>
  <si>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</si>
  <si>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</si>
  <si>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</si>
  <si>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</si>
  <si>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</si>
  <si>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</si>
  <si>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</si>
  <si>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</si>
  <si>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</si>
  <si>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</si>
  <si>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</si>
  <si>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</si>
  <si>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</si>
  <si>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</si>
  <si>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</si>
  <si>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</si>
  <si>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</si>
  <si>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</si>
  <si>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</si>
  <si>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</si>
  <si>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</si>
  <si>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</si>
  <si>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</si>
  <si>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</si>
  <si>
    <t>PILETA</t>
  </si>
  <si>
    <t>INDIVIDUAL</t>
  </si>
  <si>
    <t>GRUPO FAMILIAR</t>
  </si>
  <si>
    <t>POR FAMILIAR (C/U)</t>
  </si>
  <si>
    <t>COLONIA VERANO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</si>
</sst>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0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7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8" xfId="0" applyNumberFormat="1" applyFont="1" applyFill="1" applyBorder="1" applyAlignment="1">
      <alignment horizontal="center"/>
    </xf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6" xfId="0" applyNumberFormat="1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33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0" borderId="34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2" xfId="0" applyFont="1" applyFill="1" applyBorder="1" applyAlignment="1">
      <alignment horizontal="left"/>
    </xf>
    <xf numFmtId="0" fontId="2" fillId="3" borderId="24" xfId="0" applyFont="1" applyFill="1" applyBorder="1"/>
    <xf numFmtId="0" fontId="6" fillId="0" borderId="21" xfId="0" applyFont="1" applyFill="1" applyBorder="1" applyAlignment="1">
      <alignment horizontal="left"/>
    </xf>
    <xf numFmtId="0" fontId="6" fillId="0" borderId="33" xfId="0" applyFont="1" applyFill="1" applyBorder="1" applyAlignment="1">
      <alignment horizontal="left"/>
    </xf>
    <xf numFmtId="0" fontId="2" fillId="3" borderId="18" xfId="0" applyFont="1" applyFill="1" applyBorder="1"/>
    <xf numFmtId="0" fontId="6" fillId="0" borderId="20" xfId="0" applyFont="1" applyFill="1" applyBorder="1" applyAlignment="1">
      <alignment horizontal="left"/>
    </xf>
    <xf numFmtId="0" fontId="2" fillId="3" borderId="11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2" xfId="0" applyFont="1" applyFill="1" applyBorder="1" applyAlignment="1">
      <alignment horizontal="left"/>
    </xf>
    <xf numFmtId="0" fontId="2" fillId="3" borderId="10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35" xfId="0" applyFont="1" applyFill="1" applyBorder="1"/>
    <xf numFmtId="0" fontId="2" fillId="3" borderId="4" xfId="0" applyFont="1" applyFill="1" applyBorder="1"/>
    <xf numFmtId="0" fontId="2" fillId="3" borderId="36" xfId="0" applyFont="1" applyFill="1" applyBorder="1"/>
    <xf numFmtId="0" fontId="2" fillId="3" borderId="37" xfId="0" applyFont="1" applyFill="1" applyBorder="1"/>
    <xf numFmtId="0" fontId="2" fillId="3" borderId="26" xfId="0" applyFont="1" applyFill="1" applyBorder="1"/>
    <xf numFmtId="0" fontId="2" fillId="3" borderId="38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4" xfId="0" applyFont="1" applyFill="1" applyBorder="1" applyAlignment="1">
      <alignment horizontal="left"/>
    </xf>
    <xf numFmtId="0" fontId="2" fillId="3" borderId="16" xfId="0" applyFont="1" applyFill="1" applyBorder="1"/>
    <xf numFmtId="0" fontId="2" fillId="3" borderId="6" xfId="0" applyFont="1" applyFill="1" applyBorder="1"/>
    <xf numFmtId="0" fontId="6" fillId="0" borderId="34" xfId="0" applyFont="1" applyFill="1" applyBorder="1" applyAlignment="1">
      <alignment horizontal="left"/>
    </xf>
    <xf numFmtId="0" fontId="2" fillId="3" borderId="39" xfId="0" applyFont="1" applyFill="1" applyBorder="1"/>
    <xf numFmtId="0" fontId="2" fillId="3" borderId="9" xfId="0" applyFont="1" applyFill="1" applyBorder="1"/>
    <xf numFmtId="164" fontId="3" fillId="0" borderId="28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23" xfId="0" applyNumberFormat="1" applyFont="1" applyFill="1" applyBorder="1" applyAlignment="1">
      <alignment horizontal="center" vertical="center"/>
    </xf>
    <xf numFmtId="164" fontId="3" fillId="0" borderId="3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25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18" xfId="0" applyNumberFormat="1" applyFont="1" applyFill="1" applyBorder="1" applyAlignment="1">
      <alignment horizontal="center" vertical="center"/>
    </xf>
    <xf numFmtId="164" fontId="3" fillId="0" borderId="19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200"/>
  <sheetViews>
    <sheetView tabSelected="1" topLeftCell="A183" zoomScale="90" zoomScaleNormal="90" workbookViewId="0">
      <selection activeCell="A202" sqref="A202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104</v>
      </c>
      <c r="E1" s="9" t="s">
        <v>75</v>
      </c>
      <c r="F1" s="10" t="s">
        <v>76</v>
      </c>
      <c r="G1" s="10" t="s">
        <v>77</v>
      </c>
      <c r="H1" s="10" t="s">
        <v>102</v>
      </c>
      <c r="I1" s="11" t="s">
        <v>123</v>
      </c>
    </row>
    <row r="2" spans="1:9" x14ac:dyDescent="0.25">
      <c r="A2" s="42" t="s">
        <v>193</v>
      </c>
      <c r="B2" s="43" t="s">
        <v>33</v>
      </c>
      <c r="C2" s="56"/>
      <c r="D2" s="30"/>
      <c r="E2" s="22">
        <v>5550</v>
      </c>
      <c r="F2" s="37" t="s">
        <v>194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193</v>
      </c>
      <c r="B3" s="46" t="s">
        <v>195</v>
      </c>
      <c r="C3" s="58"/>
      <c r="D3" s="31"/>
      <c r="E3" s="23">
        <v>5550</v>
      </c>
      <c r="F3" s="38" t="s">
        <v>194</v>
      </c>
      <c r="G3" s="6"/>
      <c r="H3" s="6">
        <f>+H2*2</f>
        <v>11100</v>
      </c>
      <c r="I3" s="7"/>
    </row>
    <row r="4" spans="1:9" x14ac:dyDescent="0.25">
      <c r="A4" s="47" t="s">
        <v>192</v>
      </c>
      <c r="B4" s="48" t="s">
        <v>124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192</v>
      </c>
      <c r="B5" s="51" t="s">
        <v>103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203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105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106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107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212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thickBot="1" x14ac:dyDescent="0.3">
      <c r="A13" s="44" t="s">
        <v>212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" customHeight="1" thickBot="1" x14ac:dyDescent="0.3">
      <c r="A14" s="63" t="s">
        <v>213</v>
      </c>
      <c r="B14" s="64" t="s">
        <v>80</v>
      </c>
      <c r="C14" s="67"/>
      <c r="D14" s="34"/>
      <c r="E14" s="24">
        <v>14000</v>
      </c>
      <c r="F14" s="25">
        <v>12000</v>
      </c>
      <c r="G14" s="25">
        <v>5400</v>
      </c>
      <c r="H14" s="25">
        <v>0</v>
      </c>
      <c r="I14" s="26">
        <v>17400</v>
      </c>
    </row>
    <row r="15" spans="1:9" s="17" customFormat="1" x14ac:dyDescent="0.25">
      <c r="A15" s="47" t="s">
        <v>74</v>
      </c>
      <c r="B15" s="48" t="s">
        <v>81</v>
      </c>
      <c r="C15" s="59"/>
      <c r="D15" s="33"/>
      <c r="E15" s="21">
        <v>159834</v>
      </c>
      <c r="F15" s="3">
        <v>137000</v>
      </c>
      <c r="G15" s="3">
        <v>74000</v>
      </c>
      <c r="H15" s="3">
        <v>74000</v>
      </c>
      <c r="I15" s="8">
        <v>199000</v>
      </c>
    </row>
    <row r="16" spans="1:9" s="17" customFormat="1" x14ac:dyDescent="0.25">
      <c r="A16" s="44" t="s">
        <v>30</v>
      </c>
      <c r="B16" s="41" t="s">
        <v>82</v>
      </c>
      <c r="C16" s="57"/>
      <c r="D16" s="32"/>
      <c r="E16" s="15">
        <v>50400</v>
      </c>
      <c r="F16" s="2">
        <v>43200</v>
      </c>
      <c r="G16" s="2">
        <v>16800</v>
      </c>
      <c r="H16" s="2">
        <v>16800</v>
      </c>
      <c r="I16" s="5">
        <v>43400</v>
      </c>
    </row>
    <row r="17" spans="1:9" s="17" customFormat="1" x14ac:dyDescent="0.25">
      <c r="A17" s="44" t="s">
        <v>208</v>
      </c>
      <c r="B17" s="41" t="s">
        <v>83</v>
      </c>
      <c r="C17" s="57"/>
      <c r="D17" s="32"/>
      <c r="E17" s="15">
        <v>23100</v>
      </c>
      <c r="F17" s="2">
        <v>19800</v>
      </c>
      <c r="G17" s="2">
        <v>10800</v>
      </c>
      <c r="H17" s="2">
        <v>10800</v>
      </c>
      <c r="I17" s="5">
        <v>20300</v>
      </c>
    </row>
    <row r="18" spans="1:9" s="17" customFormat="1" x14ac:dyDescent="0.25">
      <c r="A18" s="44" t="s">
        <v>27</v>
      </c>
      <c r="B18" s="41" t="s">
        <v>83</v>
      </c>
      <c r="C18" s="57"/>
      <c r="D18" s="32"/>
      <c r="E18" s="69">
        <v>17220</v>
      </c>
      <c r="F18" s="70">
        <v>14760</v>
      </c>
      <c r="G18" s="70">
        <v>6300</v>
      </c>
      <c r="H18" s="70">
        <v>6300</v>
      </c>
      <c r="I18" s="71">
        <v>15200</v>
      </c>
    </row>
    <row r="19" spans="1:9" s="17" customFormat="1" x14ac:dyDescent="0.25">
      <c r="A19" s="44" t="s">
        <v>209</v>
      </c>
      <c r="B19" s="41" t="s">
        <v>83</v>
      </c>
      <c r="C19" s="57"/>
      <c r="D19" s="32"/>
      <c r="E19" s="69">
        <v>17220</v>
      </c>
      <c r="F19" s="70">
        <v>14760</v>
      </c>
      <c r="G19" s="70">
        <v>6300</v>
      </c>
      <c r="H19" s="70">
        <v>6300</v>
      </c>
      <c r="I19" s="71">
        <v>15200</v>
      </c>
    </row>
    <row r="20" spans="1:9" x14ac:dyDescent="0.25">
      <c r="A20" s="44" t="s">
        <v>210</v>
      </c>
      <c r="B20" s="41" t="s">
        <v>83</v>
      </c>
      <c r="C20" s="57"/>
      <c r="D20" s="32"/>
      <c r="E20" s="69">
        <v>17220</v>
      </c>
      <c r="F20" s="70">
        <v>14760</v>
      </c>
      <c r="G20" s="70">
        <v>6300</v>
      </c>
      <c r="H20" s="70">
        <v>6300</v>
      </c>
      <c r="I20" s="71">
        <v>15200</v>
      </c>
    </row>
    <row r="21" spans="1:9" s="17" customFormat="1" x14ac:dyDescent="0.25">
      <c r="A21" s="44" t="s">
        <v>211</v>
      </c>
      <c r="B21" s="41" t="s">
        <v>83</v>
      </c>
      <c r="C21" s="57"/>
      <c r="D21" s="32"/>
      <c r="E21" s="69">
        <v>17220</v>
      </c>
      <c r="F21" s="70">
        <v>14760</v>
      </c>
      <c r="G21" s="70">
        <v>6300</v>
      </c>
      <c r="H21" s="70">
        <v>6300</v>
      </c>
      <c r="I21" s="71">
        <v>15200</v>
      </c>
    </row>
    <row r="22" spans="1:9" ht="16.5" thickBot="1" x14ac:dyDescent="0.3">
      <c r="A22" s="50" t="s">
        <v>49</v>
      </c>
      <c r="B22" s="51" t="s">
        <v>83</v>
      </c>
      <c r="C22" s="60"/>
      <c r="D22" s="31"/>
      <c r="E22" s="23">
        <v>50400</v>
      </c>
      <c r="F22" s="6">
        <v>43200</v>
      </c>
      <c r="G22" s="6">
        <v>16800</v>
      </c>
      <c r="H22" s="6">
        <v>16800</v>
      </c>
      <c r="I22" s="7">
        <v>43400</v>
      </c>
    </row>
    <row r="23" spans="1:9" x14ac:dyDescent="0.25">
      <c r="A23" s="42" t="s">
        <v>55</v>
      </c>
      <c r="B23" s="43" t="s">
        <v>51</v>
      </c>
      <c r="C23" s="56"/>
      <c r="D23" s="33"/>
      <c r="E23" s="21">
        <f>+I23*0.7</f>
        <v>62220.2</v>
      </c>
      <c r="F23" s="3">
        <f>+I23*0.6</f>
        <v>53331.6</v>
      </c>
      <c r="G23" s="3">
        <v>24647</v>
      </c>
      <c r="H23" s="3">
        <f>+G23</f>
        <v>24647</v>
      </c>
      <c r="I23" s="8">
        <v>88886</v>
      </c>
    </row>
    <row r="24" spans="1:9" x14ac:dyDescent="0.25">
      <c r="A24" s="44" t="s">
        <v>55</v>
      </c>
      <c r="B24" s="41" t="s">
        <v>52</v>
      </c>
      <c r="C24" s="57"/>
      <c r="D24" s="32"/>
      <c r="E24" s="21">
        <f>+I24*0.7</f>
        <v>72592.099999999991</v>
      </c>
      <c r="F24" s="3">
        <f t="shared" ref="F24:F43" si="0">+I24*0.6</f>
        <v>62221.799999999996</v>
      </c>
      <c r="G24" s="3">
        <v>28755</v>
      </c>
      <c r="H24" s="3">
        <f t="shared" ref="H24:H43" si="1">+G24</f>
        <v>28755</v>
      </c>
      <c r="I24" s="5">
        <v>103703</v>
      </c>
    </row>
    <row r="25" spans="1:9" x14ac:dyDescent="0.25">
      <c r="A25" s="44" t="s">
        <v>55</v>
      </c>
      <c r="B25" s="41" t="s">
        <v>53</v>
      </c>
      <c r="C25" s="57"/>
      <c r="D25" s="32"/>
      <c r="E25" s="21">
        <f t="shared" ref="E25:E43" si="2">+I25*0.7</f>
        <v>122310.29999999999</v>
      </c>
      <c r="F25" s="3">
        <f t="shared" si="0"/>
        <v>104837.4</v>
      </c>
      <c r="G25" s="3">
        <v>48449</v>
      </c>
      <c r="H25" s="3">
        <f t="shared" si="1"/>
        <v>48449</v>
      </c>
      <c r="I25" s="5">
        <v>174729</v>
      </c>
    </row>
    <row r="26" spans="1:9" x14ac:dyDescent="0.25">
      <c r="A26" s="44" t="s">
        <v>55</v>
      </c>
      <c r="B26" s="41" t="s">
        <v>54</v>
      </c>
      <c r="C26" s="57"/>
      <c r="D26" s="32"/>
      <c r="E26" s="21">
        <f t="shared" si="2"/>
        <v>15556.099999999999</v>
      </c>
      <c r="F26" s="3">
        <f t="shared" si="0"/>
        <v>13333.8</v>
      </c>
      <c r="G26" s="3">
        <v>6162</v>
      </c>
      <c r="H26" s="3">
        <f t="shared" si="1"/>
        <v>6162</v>
      </c>
      <c r="I26" s="5">
        <v>22223</v>
      </c>
    </row>
    <row r="27" spans="1:9" x14ac:dyDescent="0.25">
      <c r="A27" s="44" t="s">
        <v>55</v>
      </c>
      <c r="B27" s="41" t="s">
        <v>56</v>
      </c>
      <c r="C27" s="57"/>
      <c r="D27" s="32"/>
      <c r="E27" s="21">
        <f t="shared" si="2"/>
        <v>77777</v>
      </c>
      <c r="F27" s="3">
        <f t="shared" si="0"/>
        <v>66666</v>
      </c>
      <c r="G27" s="3">
        <v>30809</v>
      </c>
      <c r="H27" s="3">
        <f t="shared" si="1"/>
        <v>30809</v>
      </c>
      <c r="I27" s="5">
        <v>111110</v>
      </c>
    </row>
    <row r="28" spans="1:9" x14ac:dyDescent="0.25">
      <c r="A28" s="44" t="s">
        <v>112</v>
      </c>
      <c r="B28" s="41" t="s">
        <v>113</v>
      </c>
      <c r="C28" s="57"/>
      <c r="D28" s="32"/>
      <c r="E28" s="21">
        <f t="shared" si="2"/>
        <v>218880.19999999998</v>
      </c>
      <c r="F28" s="3">
        <f t="shared" si="0"/>
        <v>187611.6</v>
      </c>
      <c r="G28" s="3">
        <v>85421</v>
      </c>
      <c r="H28" s="3">
        <f t="shared" si="1"/>
        <v>85421</v>
      </c>
      <c r="I28" s="5">
        <v>312686</v>
      </c>
    </row>
    <row r="29" spans="1:9" x14ac:dyDescent="0.25">
      <c r="A29" s="44" t="s">
        <v>112</v>
      </c>
      <c r="B29" s="41" t="s">
        <v>114</v>
      </c>
      <c r="C29" s="57"/>
      <c r="D29" s="32"/>
      <c r="E29" s="21">
        <f t="shared" si="2"/>
        <v>244806.09999999998</v>
      </c>
      <c r="F29" s="3">
        <f t="shared" si="0"/>
        <v>209833.8</v>
      </c>
      <c r="G29" s="3">
        <v>95539</v>
      </c>
      <c r="H29" s="3">
        <f t="shared" si="1"/>
        <v>95539</v>
      </c>
      <c r="I29" s="5">
        <v>349723</v>
      </c>
    </row>
    <row r="30" spans="1:9" x14ac:dyDescent="0.25">
      <c r="A30" s="44" t="s">
        <v>112</v>
      </c>
      <c r="B30" s="41" t="s">
        <v>115</v>
      </c>
      <c r="C30" s="57"/>
      <c r="D30" s="32"/>
      <c r="E30" s="21">
        <f t="shared" si="2"/>
        <v>312211.19999999995</v>
      </c>
      <c r="F30" s="3">
        <f t="shared" si="0"/>
        <v>267609.59999999998</v>
      </c>
      <c r="G30" s="3">
        <v>121845</v>
      </c>
      <c r="H30" s="3">
        <f t="shared" si="1"/>
        <v>121845</v>
      </c>
      <c r="I30" s="5">
        <v>446016</v>
      </c>
    </row>
    <row r="31" spans="1:9" x14ac:dyDescent="0.25">
      <c r="A31" s="44" t="s">
        <v>57</v>
      </c>
      <c r="B31" s="41" t="s">
        <v>58</v>
      </c>
      <c r="C31" s="57"/>
      <c r="D31" s="32"/>
      <c r="E31" s="21">
        <f t="shared" si="2"/>
        <v>90134.099999999991</v>
      </c>
      <c r="F31" s="3">
        <f t="shared" si="0"/>
        <v>77257.8</v>
      </c>
      <c r="G31" s="3">
        <v>35704</v>
      </c>
      <c r="H31" s="3">
        <f t="shared" si="1"/>
        <v>35704</v>
      </c>
      <c r="I31" s="5">
        <v>128763</v>
      </c>
    </row>
    <row r="32" spans="1:9" x14ac:dyDescent="0.25">
      <c r="A32" s="44" t="s">
        <v>57</v>
      </c>
      <c r="B32" s="41" t="s">
        <v>59</v>
      </c>
      <c r="C32" s="57"/>
      <c r="D32" s="32"/>
      <c r="E32" s="21">
        <f t="shared" si="2"/>
        <v>139833.4</v>
      </c>
      <c r="F32" s="3">
        <f t="shared" si="0"/>
        <v>119857.2</v>
      </c>
      <c r="G32" s="3">
        <v>55391</v>
      </c>
      <c r="H32" s="3">
        <f t="shared" si="1"/>
        <v>55391</v>
      </c>
      <c r="I32" s="5">
        <v>199762</v>
      </c>
    </row>
    <row r="33" spans="1:9" x14ac:dyDescent="0.25">
      <c r="A33" s="44" t="s">
        <v>60</v>
      </c>
      <c r="B33" s="41" t="s">
        <v>61</v>
      </c>
      <c r="C33" s="57"/>
      <c r="D33" s="32"/>
      <c r="E33" s="21">
        <f t="shared" si="2"/>
        <v>334390.69999999995</v>
      </c>
      <c r="F33" s="3">
        <f t="shared" si="0"/>
        <v>286620.59999999998</v>
      </c>
      <c r="G33" s="3">
        <v>132458</v>
      </c>
      <c r="H33" s="3">
        <f t="shared" si="1"/>
        <v>132458</v>
      </c>
      <c r="I33" s="5">
        <v>477701</v>
      </c>
    </row>
    <row r="34" spans="1:9" x14ac:dyDescent="0.25">
      <c r="A34" s="44" t="s">
        <v>60</v>
      </c>
      <c r="B34" s="41" t="s">
        <v>62</v>
      </c>
      <c r="C34" s="57"/>
      <c r="D34" s="32"/>
      <c r="E34" s="21">
        <f t="shared" si="2"/>
        <v>165561.19999999998</v>
      </c>
      <c r="F34" s="3">
        <f t="shared" si="0"/>
        <v>141909.6</v>
      </c>
      <c r="G34" s="3">
        <v>65582</v>
      </c>
      <c r="H34" s="3">
        <f t="shared" si="1"/>
        <v>65582</v>
      </c>
      <c r="I34" s="5">
        <v>236516</v>
      </c>
    </row>
    <row r="35" spans="1:9" x14ac:dyDescent="0.25">
      <c r="A35" s="44" t="s">
        <v>60</v>
      </c>
      <c r="B35" s="41" t="s">
        <v>63</v>
      </c>
      <c r="C35" s="57"/>
      <c r="D35" s="32"/>
      <c r="E35" s="21">
        <f t="shared" si="2"/>
        <v>192411.09999999998</v>
      </c>
      <c r="F35" s="3">
        <f t="shared" si="0"/>
        <v>164923.79999999999</v>
      </c>
      <c r="G35" s="3">
        <v>76217</v>
      </c>
      <c r="H35" s="3">
        <f t="shared" si="1"/>
        <v>76217</v>
      </c>
      <c r="I35" s="5">
        <v>274873</v>
      </c>
    </row>
    <row r="36" spans="1:9" x14ac:dyDescent="0.25">
      <c r="A36" s="44" t="s">
        <v>60</v>
      </c>
      <c r="B36" s="41" t="s">
        <v>64</v>
      </c>
      <c r="C36" s="57"/>
      <c r="D36" s="32"/>
      <c r="E36" s="21">
        <f t="shared" si="2"/>
        <v>219242.09999999998</v>
      </c>
      <c r="F36" s="3">
        <f t="shared" si="0"/>
        <v>187921.8</v>
      </c>
      <c r="G36" s="3">
        <v>86846</v>
      </c>
      <c r="H36" s="3">
        <f t="shared" si="1"/>
        <v>86846</v>
      </c>
      <c r="I36" s="5">
        <v>313203</v>
      </c>
    </row>
    <row r="37" spans="1:9" x14ac:dyDescent="0.25">
      <c r="A37" s="44" t="s">
        <v>65</v>
      </c>
      <c r="B37" s="41" t="s">
        <v>66</v>
      </c>
      <c r="C37" s="57"/>
      <c r="D37" s="32"/>
      <c r="E37" s="21">
        <f t="shared" si="2"/>
        <v>97786.5</v>
      </c>
      <c r="F37" s="3">
        <f t="shared" si="0"/>
        <v>83817</v>
      </c>
      <c r="G37" s="3">
        <v>38735</v>
      </c>
      <c r="H37" s="3">
        <f t="shared" si="1"/>
        <v>38735</v>
      </c>
      <c r="I37" s="5">
        <v>139695</v>
      </c>
    </row>
    <row r="38" spans="1:9" x14ac:dyDescent="0.25">
      <c r="A38" s="44" t="s">
        <v>65</v>
      </c>
      <c r="B38" s="41" t="s">
        <v>67</v>
      </c>
      <c r="C38" s="57"/>
      <c r="D38" s="32"/>
      <c r="E38" s="21">
        <f t="shared" si="2"/>
        <v>107361.09999999999</v>
      </c>
      <c r="F38" s="3">
        <f t="shared" si="0"/>
        <v>92023.8</v>
      </c>
      <c r="G38" s="3">
        <v>42528</v>
      </c>
      <c r="H38" s="3">
        <f t="shared" si="1"/>
        <v>42528</v>
      </c>
      <c r="I38" s="5">
        <v>153373</v>
      </c>
    </row>
    <row r="39" spans="1:9" x14ac:dyDescent="0.25">
      <c r="A39" s="44" t="s">
        <v>65</v>
      </c>
      <c r="B39" s="41" t="s">
        <v>68</v>
      </c>
      <c r="C39" s="57"/>
      <c r="D39" s="32"/>
      <c r="E39" s="21">
        <f t="shared" si="2"/>
        <v>128830.79999999999</v>
      </c>
      <c r="F39" s="3">
        <f t="shared" si="0"/>
        <v>110426.4</v>
      </c>
      <c r="G39" s="3">
        <v>51032</v>
      </c>
      <c r="H39" s="3">
        <f t="shared" si="1"/>
        <v>51032</v>
      </c>
      <c r="I39" s="5">
        <v>184044</v>
      </c>
    </row>
    <row r="40" spans="1:9" x14ac:dyDescent="0.25">
      <c r="A40" s="44" t="s">
        <v>65</v>
      </c>
      <c r="B40" s="41" t="s">
        <v>69</v>
      </c>
      <c r="C40" s="57"/>
      <c r="D40" s="32"/>
      <c r="E40" s="21">
        <f t="shared" si="2"/>
        <v>34354.6</v>
      </c>
      <c r="F40" s="3">
        <f t="shared" si="0"/>
        <v>29446.799999999999</v>
      </c>
      <c r="G40" s="3">
        <v>13608</v>
      </c>
      <c r="H40" s="3">
        <f t="shared" si="1"/>
        <v>13608</v>
      </c>
      <c r="I40" s="5">
        <v>49078</v>
      </c>
    </row>
    <row r="41" spans="1:9" x14ac:dyDescent="0.25">
      <c r="A41" s="44" t="s">
        <v>73</v>
      </c>
      <c r="B41" s="41" t="s">
        <v>70</v>
      </c>
      <c r="C41" s="57"/>
      <c r="D41" s="32"/>
      <c r="E41" s="21">
        <f t="shared" si="2"/>
        <v>463303.39999999997</v>
      </c>
      <c r="F41" s="3">
        <f t="shared" si="0"/>
        <v>397117.2</v>
      </c>
      <c r="G41" s="3">
        <v>183523</v>
      </c>
      <c r="H41" s="3">
        <f t="shared" si="1"/>
        <v>183523</v>
      </c>
      <c r="I41" s="5">
        <v>661862</v>
      </c>
    </row>
    <row r="42" spans="1:9" x14ac:dyDescent="0.25">
      <c r="A42" s="44" t="s">
        <v>73</v>
      </c>
      <c r="B42" s="41" t="s">
        <v>71</v>
      </c>
      <c r="C42" s="57"/>
      <c r="D42" s="32"/>
      <c r="E42" s="21">
        <f t="shared" si="2"/>
        <v>484789.19999999995</v>
      </c>
      <c r="F42" s="3">
        <f t="shared" si="0"/>
        <v>415533.6</v>
      </c>
      <c r="G42" s="3">
        <v>192034</v>
      </c>
      <c r="H42" s="3">
        <f t="shared" si="1"/>
        <v>192034</v>
      </c>
      <c r="I42" s="5">
        <v>692556</v>
      </c>
    </row>
    <row r="43" spans="1:9" ht="16.5" thickBot="1" x14ac:dyDescent="0.3">
      <c r="A43" s="50" t="s">
        <v>73</v>
      </c>
      <c r="B43" s="51" t="s">
        <v>72</v>
      </c>
      <c r="C43" s="60"/>
      <c r="D43" s="40"/>
      <c r="E43" s="27">
        <f t="shared" si="2"/>
        <v>63054.6</v>
      </c>
      <c r="F43" s="28">
        <f t="shared" si="0"/>
        <v>54046.799999999996</v>
      </c>
      <c r="G43" s="28">
        <v>24977</v>
      </c>
      <c r="H43" s="28">
        <f t="shared" si="1"/>
        <v>24977</v>
      </c>
      <c r="I43" s="12">
        <v>90078</v>
      </c>
    </row>
    <row r="44" spans="1:9" x14ac:dyDescent="0.25">
      <c r="A44" s="42" t="s">
        <v>0</v>
      </c>
      <c r="B44" s="43" t="s">
        <v>84</v>
      </c>
      <c r="C44" s="56"/>
      <c r="D44" s="30"/>
      <c r="E44" s="73">
        <v>8400</v>
      </c>
      <c r="F44" s="73">
        <v>7200</v>
      </c>
      <c r="G44" s="73">
        <v>0</v>
      </c>
      <c r="H44" s="73">
        <v>0</v>
      </c>
      <c r="I44" s="74">
        <v>5300</v>
      </c>
    </row>
    <row r="45" spans="1:9" x14ac:dyDescent="0.25">
      <c r="A45" s="44" t="s">
        <v>0</v>
      </c>
      <c r="B45" s="41" t="s">
        <v>85</v>
      </c>
      <c r="C45" s="57"/>
      <c r="D45" s="32"/>
      <c r="E45" s="72">
        <v>8400</v>
      </c>
      <c r="F45" s="72">
        <v>7200</v>
      </c>
      <c r="G45" s="72">
        <v>0</v>
      </c>
      <c r="H45" s="72">
        <v>0</v>
      </c>
      <c r="I45" s="75">
        <v>5300</v>
      </c>
    </row>
    <row r="46" spans="1:9" x14ac:dyDescent="0.25">
      <c r="A46" s="44" t="s">
        <v>0</v>
      </c>
      <c r="B46" s="41" t="s">
        <v>86</v>
      </c>
      <c r="C46" s="57"/>
      <c r="D46" s="32"/>
      <c r="E46" s="72">
        <v>8400</v>
      </c>
      <c r="F46" s="72">
        <v>7200</v>
      </c>
      <c r="G46" s="72">
        <v>0</v>
      </c>
      <c r="H46" s="72">
        <v>0</v>
      </c>
      <c r="I46" s="75">
        <v>5300</v>
      </c>
    </row>
    <row r="47" spans="1:9" ht="16.5" thickBot="1" x14ac:dyDescent="0.3">
      <c r="A47" s="45" t="s">
        <v>0</v>
      </c>
      <c r="B47" s="46" t="s">
        <v>87</v>
      </c>
      <c r="C47" s="58"/>
      <c r="D47" s="31"/>
      <c r="E47" s="76">
        <v>8400</v>
      </c>
      <c r="F47" s="76">
        <v>7200</v>
      </c>
      <c r="G47" s="76">
        <v>0</v>
      </c>
      <c r="H47" s="76">
        <v>0</v>
      </c>
      <c r="I47" s="77">
        <v>5300</v>
      </c>
    </row>
    <row r="48" spans="1:9" x14ac:dyDescent="0.25">
      <c r="A48" s="47" t="s">
        <v>1</v>
      </c>
      <c r="B48" s="48" t="s">
        <v>121</v>
      </c>
      <c r="C48" s="59"/>
      <c r="D48" s="33"/>
      <c r="E48" s="21">
        <v>14000</v>
      </c>
      <c r="F48" s="3">
        <v>12000</v>
      </c>
      <c r="G48" s="3">
        <v>4100</v>
      </c>
      <c r="H48" s="3">
        <v>4100</v>
      </c>
      <c r="I48" s="8"/>
    </row>
    <row r="49" spans="1:9" x14ac:dyDescent="0.25">
      <c r="A49" s="44" t="s">
        <v>1</v>
      </c>
      <c r="B49" s="41" t="s">
        <v>88</v>
      </c>
      <c r="C49" s="57"/>
      <c r="D49" s="32"/>
      <c r="E49" s="69">
        <v>10500</v>
      </c>
      <c r="F49" s="69">
        <v>9000</v>
      </c>
      <c r="G49" s="69">
        <v>4900</v>
      </c>
      <c r="H49" s="69">
        <v>4900</v>
      </c>
      <c r="I49" s="5"/>
    </row>
    <row r="50" spans="1:9" x14ac:dyDescent="0.25">
      <c r="A50" s="44" t="s">
        <v>1</v>
      </c>
      <c r="B50" s="41" t="s">
        <v>89</v>
      </c>
      <c r="C50" s="57"/>
      <c r="D50" s="32"/>
      <c r="E50" s="69">
        <v>10500</v>
      </c>
      <c r="F50" s="69">
        <v>9000</v>
      </c>
      <c r="G50" s="69">
        <v>4900</v>
      </c>
      <c r="H50" s="69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32"/>
      <c r="E51" s="69">
        <v>14000</v>
      </c>
      <c r="F51" s="69">
        <v>12000</v>
      </c>
      <c r="G51" s="70">
        <v>3400</v>
      </c>
      <c r="H51" s="70">
        <v>3400</v>
      </c>
      <c r="I51" s="5"/>
    </row>
    <row r="52" spans="1:9" x14ac:dyDescent="0.25">
      <c r="A52" s="44" t="s">
        <v>1</v>
      </c>
      <c r="B52" s="41" t="s">
        <v>91</v>
      </c>
      <c r="C52" s="57"/>
      <c r="D52" s="32"/>
      <c r="E52" s="69">
        <v>14000</v>
      </c>
      <c r="F52" s="69">
        <v>12000</v>
      </c>
      <c r="G52" s="70">
        <v>3400</v>
      </c>
      <c r="H52" s="70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32"/>
      <c r="E53" s="69">
        <v>14000</v>
      </c>
      <c r="F53" s="69">
        <v>12000</v>
      </c>
      <c r="G53" s="70">
        <v>3400</v>
      </c>
      <c r="H53" s="70">
        <v>3400</v>
      </c>
      <c r="I53" s="5"/>
    </row>
    <row r="54" spans="1:9" ht="16.5" thickBot="1" x14ac:dyDescent="0.3">
      <c r="A54" s="45" t="s">
        <v>1</v>
      </c>
      <c r="B54" s="46" t="s">
        <v>93</v>
      </c>
      <c r="C54" s="58"/>
      <c r="D54" s="32"/>
      <c r="E54" s="69">
        <v>14000</v>
      </c>
      <c r="F54" s="69">
        <v>12000</v>
      </c>
      <c r="G54" s="6">
        <v>5700</v>
      </c>
      <c r="H54" s="6">
        <v>5700</v>
      </c>
      <c r="I54" s="7"/>
    </row>
    <row r="55" spans="1:9" ht="16.5" thickBot="1" x14ac:dyDescent="0.3">
      <c r="A55" s="66" t="s">
        <v>19</v>
      </c>
      <c r="B55" s="65" t="s">
        <v>94</v>
      </c>
      <c r="C55" s="68"/>
      <c r="D55" s="34"/>
      <c r="E55" s="24">
        <v>9000</v>
      </c>
      <c r="F55" s="25">
        <v>7500</v>
      </c>
      <c r="G55" s="25">
        <v>2700</v>
      </c>
      <c r="H55" s="25">
        <v>0</v>
      </c>
      <c r="I55" s="26"/>
    </row>
    <row r="56" spans="1:9" ht="16.5" thickBot="1" x14ac:dyDescent="0.3">
      <c r="A56" s="63" t="s">
        <v>95</v>
      </c>
      <c r="B56" s="64" t="s">
        <v>96</v>
      </c>
      <c r="C56" s="67"/>
      <c r="D56" s="35"/>
      <c r="E56" s="27">
        <v>8400</v>
      </c>
      <c r="F56" s="28">
        <v>7200</v>
      </c>
      <c r="G56" s="28">
        <v>3900</v>
      </c>
      <c r="H56" s="28">
        <v>2700</v>
      </c>
      <c r="I56" s="36"/>
    </row>
    <row r="57" spans="1:9" x14ac:dyDescent="0.25">
      <c r="A57" s="47" t="s">
        <v>97</v>
      </c>
      <c r="B57" s="48" t="s">
        <v>13</v>
      </c>
      <c r="C57" s="59"/>
      <c r="D57" s="30"/>
      <c r="E57" s="22">
        <v>14000</v>
      </c>
      <c r="F57" s="13">
        <v>12000</v>
      </c>
      <c r="G57" s="13">
        <v>5500</v>
      </c>
      <c r="H57" s="13">
        <v>5500</v>
      </c>
      <c r="I57" s="14"/>
    </row>
    <row r="58" spans="1:9" x14ac:dyDescent="0.25">
      <c r="A58" s="44" t="s">
        <v>97</v>
      </c>
      <c r="B58" s="41" t="s">
        <v>14</v>
      </c>
      <c r="C58" s="57"/>
      <c r="D58" s="32"/>
      <c r="E58" s="15">
        <v>21000</v>
      </c>
      <c r="F58" s="2">
        <v>18000</v>
      </c>
      <c r="G58" s="2">
        <v>8400</v>
      </c>
      <c r="H58" s="2">
        <v>8400</v>
      </c>
      <c r="I58" s="5"/>
    </row>
    <row r="59" spans="1:9" x14ac:dyDescent="0.25">
      <c r="A59" s="44" t="s">
        <v>97</v>
      </c>
      <c r="B59" s="41" t="s">
        <v>15</v>
      </c>
      <c r="C59" s="57"/>
      <c r="D59" s="32"/>
      <c r="E59" s="15">
        <v>14000</v>
      </c>
      <c r="F59" s="2">
        <v>12000</v>
      </c>
      <c r="G59" s="2">
        <v>5000</v>
      </c>
      <c r="H59" s="2">
        <v>5000</v>
      </c>
      <c r="I59" s="5"/>
    </row>
    <row r="60" spans="1:9" x14ac:dyDescent="0.25">
      <c r="A60" s="44" t="s">
        <v>97</v>
      </c>
      <c r="B60" s="41" t="s">
        <v>16</v>
      </c>
      <c r="C60" s="57"/>
      <c r="D60" s="32"/>
      <c r="E60" s="15">
        <v>21000</v>
      </c>
      <c r="F60" s="2">
        <v>18000</v>
      </c>
      <c r="G60" s="2">
        <v>5200</v>
      </c>
      <c r="H60" s="2">
        <v>5200</v>
      </c>
      <c r="I60" s="5"/>
    </row>
    <row r="61" spans="1:9" ht="16.5" thickBot="1" x14ac:dyDescent="0.3">
      <c r="A61" s="50" t="s">
        <v>97</v>
      </c>
      <c r="B61" s="51" t="s">
        <v>17</v>
      </c>
      <c r="C61" s="60"/>
      <c r="D61" s="31"/>
      <c r="E61" s="23">
        <v>21000</v>
      </c>
      <c r="F61" s="6">
        <v>18000</v>
      </c>
      <c r="G61" s="6">
        <v>7900</v>
      </c>
      <c r="H61" s="6">
        <v>7900</v>
      </c>
      <c r="I61" s="7"/>
    </row>
    <row r="62" spans="1:9" x14ac:dyDescent="0.25">
      <c r="A62" s="42" t="s">
        <v>5</v>
      </c>
      <c r="B62" s="43" t="s">
        <v>6</v>
      </c>
      <c r="C62" s="56" t="s">
        <v>98</v>
      </c>
      <c r="D62" s="30">
        <v>111000</v>
      </c>
      <c r="E62" s="22">
        <v>77700</v>
      </c>
      <c r="F62" s="13">
        <v>66600</v>
      </c>
      <c r="G62" s="13">
        <v>46700</v>
      </c>
      <c r="H62" s="13">
        <f t="shared" ref="H62:H69" si="3">+G62</f>
        <v>46700</v>
      </c>
      <c r="I62" s="14"/>
    </row>
    <row r="63" spans="1:9" x14ac:dyDescent="0.25">
      <c r="A63" s="44" t="s">
        <v>5</v>
      </c>
      <c r="B63" s="41" t="s">
        <v>6</v>
      </c>
      <c r="C63" s="57" t="s">
        <v>119</v>
      </c>
      <c r="D63" s="32">
        <v>51000</v>
      </c>
      <c r="E63" s="15">
        <v>35700</v>
      </c>
      <c r="F63" s="2">
        <v>30600</v>
      </c>
      <c r="G63" s="2">
        <v>21300</v>
      </c>
      <c r="H63" s="2">
        <f t="shared" si="3"/>
        <v>21300</v>
      </c>
      <c r="I63" s="5"/>
    </row>
    <row r="64" spans="1:9" x14ac:dyDescent="0.25">
      <c r="A64" s="44" t="s">
        <v>5</v>
      </c>
      <c r="B64" s="41" t="s">
        <v>201</v>
      </c>
      <c r="C64" s="57" t="s">
        <v>99</v>
      </c>
      <c r="D64" s="32">
        <v>241000</v>
      </c>
      <c r="E64" s="15">
        <v>168700</v>
      </c>
      <c r="F64" s="2">
        <v>144600</v>
      </c>
      <c r="G64" s="2">
        <v>76000</v>
      </c>
      <c r="H64" s="2">
        <f t="shared" si="3"/>
        <v>76000</v>
      </c>
      <c r="I64" s="5"/>
    </row>
    <row r="65" spans="1:9" x14ac:dyDescent="0.25">
      <c r="A65" s="44" t="s">
        <v>5</v>
      </c>
      <c r="B65" s="41" t="s">
        <v>201</v>
      </c>
      <c r="C65" s="57" t="s">
        <v>120</v>
      </c>
      <c r="D65" s="32">
        <v>68000</v>
      </c>
      <c r="E65" s="15">
        <v>47600</v>
      </c>
      <c r="F65" s="2">
        <v>40800</v>
      </c>
      <c r="G65" s="2">
        <v>48000</v>
      </c>
      <c r="H65" s="2">
        <f t="shared" si="3"/>
        <v>48000</v>
      </c>
      <c r="I65" s="5"/>
    </row>
    <row r="66" spans="1:9" x14ac:dyDescent="0.25">
      <c r="A66" s="44" t="s">
        <v>5</v>
      </c>
      <c r="B66" s="41" t="s">
        <v>200</v>
      </c>
      <c r="C66" s="57" t="s">
        <v>99</v>
      </c>
      <c r="D66" s="32">
        <v>551000</v>
      </c>
      <c r="E66" s="15">
        <v>385700</v>
      </c>
      <c r="F66" s="2">
        <v>330600</v>
      </c>
      <c r="G66" s="2">
        <v>209000</v>
      </c>
      <c r="H66" s="2">
        <f t="shared" si="3"/>
        <v>209000</v>
      </c>
      <c r="I66" s="5"/>
    </row>
    <row r="67" spans="1:9" x14ac:dyDescent="0.25">
      <c r="A67" s="44" t="s">
        <v>5</v>
      </c>
      <c r="B67" s="41" t="s">
        <v>200</v>
      </c>
      <c r="C67" s="57" t="s">
        <v>119</v>
      </c>
      <c r="D67" s="32">
        <v>132000</v>
      </c>
      <c r="E67" s="15">
        <v>92400</v>
      </c>
      <c r="F67" s="2">
        <v>79200</v>
      </c>
      <c r="G67" s="2">
        <v>75000</v>
      </c>
      <c r="H67" s="2">
        <f t="shared" si="3"/>
        <v>75000</v>
      </c>
      <c r="I67" s="5"/>
    </row>
    <row r="68" spans="1:9" x14ac:dyDescent="0.25">
      <c r="A68" s="44" t="s">
        <v>5</v>
      </c>
      <c r="B68" s="41" t="s">
        <v>202</v>
      </c>
      <c r="C68" s="57" t="s">
        <v>98</v>
      </c>
      <c r="D68" s="32">
        <v>962000</v>
      </c>
      <c r="E68" s="15">
        <v>673400</v>
      </c>
      <c r="F68" s="2">
        <v>577200</v>
      </c>
      <c r="G68" s="2">
        <v>464000</v>
      </c>
      <c r="H68" s="2">
        <f t="shared" si="3"/>
        <v>464000</v>
      </c>
      <c r="I68" s="5"/>
    </row>
    <row r="69" spans="1:9" ht="16.5" thickBot="1" x14ac:dyDescent="0.3">
      <c r="A69" s="45" t="s">
        <v>5</v>
      </c>
      <c r="B69" s="46" t="s">
        <v>202</v>
      </c>
      <c r="C69" s="58" t="s">
        <v>120</v>
      </c>
      <c r="D69" s="31">
        <v>203000</v>
      </c>
      <c r="E69" s="23">
        <v>142100</v>
      </c>
      <c r="F69" s="6">
        <v>121800</v>
      </c>
      <c r="G69" s="6">
        <v>139000</v>
      </c>
      <c r="H69" s="6">
        <f t="shared" si="3"/>
        <v>139000</v>
      </c>
      <c r="I69" s="7"/>
    </row>
    <row r="70" spans="1:9" x14ac:dyDescent="0.25">
      <c r="A70" s="47" t="s">
        <v>7</v>
      </c>
      <c r="B70" s="48" t="s">
        <v>8</v>
      </c>
      <c r="C70" s="59"/>
      <c r="D70" s="30">
        <v>176000</v>
      </c>
      <c r="E70" s="22">
        <f>+D70</f>
        <v>176000</v>
      </c>
      <c r="F70" s="13">
        <f>+D70</f>
        <v>176000</v>
      </c>
      <c r="G70" s="13">
        <f>+D70</f>
        <v>176000</v>
      </c>
      <c r="H70" s="13">
        <f>+D70</f>
        <v>176000</v>
      </c>
      <c r="I70" s="14"/>
    </row>
    <row r="71" spans="1:9" x14ac:dyDescent="0.25">
      <c r="A71" s="44" t="s">
        <v>7</v>
      </c>
      <c r="B71" s="41" t="s">
        <v>9</v>
      </c>
      <c r="C71" s="57"/>
      <c r="D71" s="32">
        <v>233000</v>
      </c>
      <c r="E71" s="15">
        <f>+D71</f>
        <v>233000</v>
      </c>
      <c r="F71" s="2">
        <f>+D71</f>
        <v>233000</v>
      </c>
      <c r="G71" s="2">
        <f>+D71</f>
        <v>233000</v>
      </c>
      <c r="H71" s="2">
        <f>+D71</f>
        <v>233000</v>
      </c>
      <c r="I71" s="5"/>
    </row>
    <row r="72" spans="1:9" x14ac:dyDescent="0.25">
      <c r="A72" s="44" t="s">
        <v>7</v>
      </c>
      <c r="B72" s="41" t="s">
        <v>118</v>
      </c>
      <c r="C72" s="57"/>
      <c r="D72" s="32">
        <v>41000</v>
      </c>
      <c r="E72" s="15">
        <f>+D72</f>
        <v>41000</v>
      </c>
      <c r="F72" s="2">
        <f>+D72</f>
        <v>41000</v>
      </c>
      <c r="G72" s="2">
        <f>+D72</f>
        <v>41000</v>
      </c>
      <c r="H72" s="2">
        <f>+D72</f>
        <v>41000</v>
      </c>
      <c r="I72" s="5"/>
    </row>
    <row r="73" spans="1:9" ht="16.5" thickBot="1" x14ac:dyDescent="0.3">
      <c r="A73" s="50" t="s">
        <v>7</v>
      </c>
      <c r="B73" s="51" t="s">
        <v>10</v>
      </c>
      <c r="C73" s="60"/>
      <c r="D73" s="31">
        <v>7700</v>
      </c>
      <c r="E73" s="23">
        <f>+D73</f>
        <v>7700</v>
      </c>
      <c r="F73" s="6">
        <f>+D73</f>
        <v>7700</v>
      </c>
      <c r="G73" s="6">
        <f>+D73</f>
        <v>7700</v>
      </c>
      <c r="H73" s="6">
        <f>+D73</f>
        <v>7700</v>
      </c>
      <c r="I73" s="7"/>
    </row>
    <row r="74" spans="1:9" ht="16.5" thickBot="1" x14ac:dyDescent="0.3">
      <c r="A74" s="63" t="s">
        <v>122</v>
      </c>
      <c r="B74" s="64" t="s">
        <v>28</v>
      </c>
      <c r="C74" s="67"/>
      <c r="D74" s="34">
        <v>64600</v>
      </c>
      <c r="E74" s="24">
        <f>+D74</f>
        <v>64600</v>
      </c>
      <c r="F74" s="25">
        <f>+D74</f>
        <v>64600</v>
      </c>
      <c r="G74" s="25">
        <f>+D74</f>
        <v>64600</v>
      </c>
      <c r="H74" s="25">
        <f>+D74</f>
        <v>64600</v>
      </c>
      <c r="I74" s="26"/>
    </row>
    <row r="75" spans="1:9" x14ac:dyDescent="0.25">
      <c r="A75" s="47" t="s">
        <v>20</v>
      </c>
      <c r="B75" s="48" t="s">
        <v>199</v>
      </c>
      <c r="C75" s="59"/>
      <c r="D75" s="30">
        <v>97000</v>
      </c>
      <c r="E75" s="22">
        <v>67900</v>
      </c>
      <c r="F75" s="13">
        <v>58200</v>
      </c>
      <c r="G75" s="13">
        <v>23500</v>
      </c>
      <c r="H75" s="13">
        <f t="shared" ref="H75:H84" si="4">+G75</f>
        <v>23500</v>
      </c>
      <c r="I75" s="14"/>
    </row>
    <row r="76" spans="1:9" x14ac:dyDescent="0.25">
      <c r="A76" s="44" t="s">
        <v>20</v>
      </c>
      <c r="B76" s="41" t="s">
        <v>100</v>
      </c>
      <c r="C76" s="57"/>
      <c r="D76" s="32">
        <v>282000</v>
      </c>
      <c r="E76" s="15">
        <v>197400</v>
      </c>
      <c r="F76" s="2">
        <v>169200</v>
      </c>
      <c r="G76" s="2">
        <v>72000</v>
      </c>
      <c r="H76" s="2">
        <f t="shared" si="4"/>
        <v>72000</v>
      </c>
      <c r="I76" s="5"/>
    </row>
    <row r="77" spans="1:9" x14ac:dyDescent="0.25">
      <c r="A77" s="44" t="s">
        <v>20</v>
      </c>
      <c r="B77" s="41" t="s">
        <v>116</v>
      </c>
      <c r="C77" s="57"/>
      <c r="D77" s="32">
        <v>256000</v>
      </c>
      <c r="E77" s="15">
        <v>179200</v>
      </c>
      <c r="F77" s="2">
        <v>153600</v>
      </c>
      <c r="G77" s="2">
        <v>62000</v>
      </c>
      <c r="H77" s="2">
        <f t="shared" si="4"/>
        <v>62000</v>
      </c>
      <c r="I77" s="5"/>
    </row>
    <row r="78" spans="1:9" x14ac:dyDescent="0.25">
      <c r="A78" s="44" t="s">
        <v>20</v>
      </c>
      <c r="B78" s="41" t="s">
        <v>101</v>
      </c>
      <c r="C78" s="57"/>
      <c r="D78" s="32">
        <v>508000</v>
      </c>
      <c r="E78" s="15">
        <v>355600</v>
      </c>
      <c r="F78" s="2">
        <v>304800</v>
      </c>
      <c r="G78" s="2">
        <v>124000</v>
      </c>
      <c r="H78" s="2">
        <f t="shared" si="4"/>
        <v>124000</v>
      </c>
      <c r="I78" s="5"/>
    </row>
    <row r="79" spans="1:9" ht="16.5" thickBot="1" x14ac:dyDescent="0.3">
      <c r="A79" s="50" t="s">
        <v>20</v>
      </c>
      <c r="B79" s="51" t="s">
        <v>117</v>
      </c>
      <c r="C79" s="60"/>
      <c r="D79" s="31">
        <v>8200</v>
      </c>
      <c r="E79" s="23">
        <v>5740</v>
      </c>
      <c r="F79" s="6">
        <v>4920</v>
      </c>
      <c r="G79" s="6">
        <v>2500</v>
      </c>
      <c r="H79" s="6">
        <f t="shared" si="4"/>
        <v>2500</v>
      </c>
      <c r="I79" s="7"/>
    </row>
    <row r="80" spans="1:9" x14ac:dyDescent="0.25">
      <c r="A80" s="42" t="s">
        <v>21</v>
      </c>
      <c r="B80" s="43" t="s">
        <v>214</v>
      </c>
      <c r="C80" s="56"/>
      <c r="D80" s="32">
        <v>104000</v>
      </c>
      <c r="E80" s="15">
        <v>72800</v>
      </c>
      <c r="F80" s="2">
        <v>62400</v>
      </c>
      <c r="G80" s="2">
        <v>41600</v>
      </c>
      <c r="H80" s="2">
        <f t="shared" si="4"/>
        <v>41600</v>
      </c>
      <c r="I80" s="5"/>
    </row>
    <row r="81" spans="1:9" ht="16.5" thickBot="1" x14ac:dyDescent="0.3">
      <c r="A81" s="45" t="s">
        <v>21</v>
      </c>
      <c r="B81" s="46" t="s">
        <v>215</v>
      </c>
      <c r="C81" s="58"/>
      <c r="D81" s="31">
        <v>144750</v>
      </c>
      <c r="E81" s="23">
        <v>101325</v>
      </c>
      <c r="F81" s="6">
        <v>86850</v>
      </c>
      <c r="G81" s="6">
        <v>57900</v>
      </c>
      <c r="H81" s="6">
        <f t="shared" si="4"/>
        <v>57900</v>
      </c>
      <c r="I81" s="7"/>
    </row>
    <row r="82" spans="1:9" x14ac:dyDescent="0.25">
      <c r="A82" s="47" t="s">
        <v>25</v>
      </c>
      <c r="B82" s="48" t="s">
        <v>22</v>
      </c>
      <c r="C82" s="59"/>
      <c r="D82" s="30">
        <v>13429</v>
      </c>
      <c r="E82" s="22">
        <v>9400</v>
      </c>
      <c r="F82" s="13">
        <v>8057</v>
      </c>
      <c r="G82" s="13">
        <v>0</v>
      </c>
      <c r="H82" s="13">
        <f t="shared" si="4"/>
        <v>0</v>
      </c>
      <c r="I82" s="14"/>
    </row>
    <row r="83" spans="1:9" x14ac:dyDescent="0.25">
      <c r="A83" s="44" t="s">
        <v>25</v>
      </c>
      <c r="B83" s="41" t="s">
        <v>23</v>
      </c>
      <c r="C83" s="57"/>
      <c r="D83" s="32">
        <v>19714</v>
      </c>
      <c r="E83" s="15">
        <v>13800</v>
      </c>
      <c r="F83" s="2">
        <v>11829</v>
      </c>
      <c r="G83" s="2">
        <v>0</v>
      </c>
      <c r="H83" s="2">
        <f t="shared" si="4"/>
        <v>0</v>
      </c>
      <c r="I83" s="5"/>
    </row>
    <row r="84" spans="1:9" ht="16.5" thickBot="1" x14ac:dyDescent="0.3">
      <c r="A84" s="50" t="s">
        <v>25</v>
      </c>
      <c r="B84" s="51" t="s">
        <v>24</v>
      </c>
      <c r="C84" s="60"/>
      <c r="D84" s="31">
        <v>19714</v>
      </c>
      <c r="E84" s="23">
        <v>13800</v>
      </c>
      <c r="F84" s="6">
        <v>11829</v>
      </c>
      <c r="G84" s="6">
        <v>0</v>
      </c>
      <c r="H84" s="6">
        <f t="shared" si="4"/>
        <v>0</v>
      </c>
      <c r="I84" s="7"/>
    </row>
    <row r="85" spans="1:9" x14ac:dyDescent="0.25">
      <c r="A85" s="42" t="s">
        <v>18</v>
      </c>
      <c r="B85" s="43" t="s">
        <v>31</v>
      </c>
      <c r="C85" s="56"/>
      <c r="D85" s="30">
        <v>55600</v>
      </c>
      <c r="E85" s="22">
        <v>38920</v>
      </c>
      <c r="F85" s="13">
        <v>33360</v>
      </c>
      <c r="G85" s="13">
        <v>26800</v>
      </c>
      <c r="H85" s="13">
        <f>+G85</f>
        <v>26800</v>
      </c>
      <c r="I85" s="14"/>
    </row>
    <row r="86" spans="1:9" ht="16.5" thickBot="1" x14ac:dyDescent="0.3">
      <c r="A86" s="45" t="s">
        <v>18</v>
      </c>
      <c r="B86" s="46" t="s">
        <v>32</v>
      </c>
      <c r="C86" s="58"/>
      <c r="D86" s="40">
        <v>13900</v>
      </c>
      <c r="E86" s="20">
        <v>9730</v>
      </c>
      <c r="F86" s="4">
        <v>8340</v>
      </c>
      <c r="G86" s="4">
        <v>13900</v>
      </c>
      <c r="H86" s="4">
        <f>+G86</f>
        <v>13900</v>
      </c>
      <c r="I86" s="12"/>
    </row>
    <row r="87" spans="1:9" x14ac:dyDescent="0.25">
      <c r="A87" s="47" t="s">
        <v>133</v>
      </c>
      <c r="B87" s="48" t="s">
        <v>34</v>
      </c>
      <c r="C87" s="59"/>
      <c r="D87" s="30" t="s">
        <v>216</v>
      </c>
      <c r="E87" s="13"/>
      <c r="F87" s="13">
        <v>99890</v>
      </c>
      <c r="G87" s="37">
        <f>+F87</f>
        <v>99890</v>
      </c>
      <c r="H87" s="37">
        <f>+F87</f>
        <v>99890</v>
      </c>
      <c r="I87" s="14"/>
    </row>
    <row r="88" spans="1:9" x14ac:dyDescent="0.25">
      <c r="A88" s="44" t="s">
        <v>133</v>
      </c>
      <c r="B88" s="41" t="s">
        <v>37</v>
      </c>
      <c r="C88" s="57"/>
      <c r="D88" s="32"/>
      <c r="E88" s="2"/>
      <c r="F88" s="2">
        <v>90026</v>
      </c>
      <c r="G88" s="49">
        <f t="shared" ref="G88:G107" si="5">+F88</f>
        <v>90026</v>
      </c>
      <c r="H88" s="49">
        <f t="shared" ref="H88:H107" si="6">+F88</f>
        <v>90026</v>
      </c>
      <c r="I88" s="5"/>
    </row>
    <row r="89" spans="1:9" x14ac:dyDescent="0.25">
      <c r="A89" s="44" t="s">
        <v>133</v>
      </c>
      <c r="B89" s="41" t="s">
        <v>35</v>
      </c>
      <c r="C89" s="57"/>
      <c r="D89" s="32"/>
      <c r="E89" s="2"/>
      <c r="F89" s="2">
        <v>49945</v>
      </c>
      <c r="G89" s="49">
        <f t="shared" si="5"/>
        <v>49945</v>
      </c>
      <c r="H89" s="49">
        <f t="shared" si="6"/>
        <v>49945</v>
      </c>
      <c r="I89" s="5"/>
    </row>
    <row r="90" spans="1:9" x14ac:dyDescent="0.25">
      <c r="A90" s="44" t="s">
        <v>133</v>
      </c>
      <c r="B90" s="41" t="s">
        <v>36</v>
      </c>
      <c r="C90" s="57"/>
      <c r="D90" s="32"/>
      <c r="E90" s="2"/>
      <c r="F90" s="2">
        <v>95529</v>
      </c>
      <c r="G90" s="49">
        <f t="shared" si="5"/>
        <v>95529</v>
      </c>
      <c r="H90" s="49">
        <f t="shared" si="6"/>
        <v>95529</v>
      </c>
      <c r="I90" s="5"/>
    </row>
    <row r="91" spans="1:9" x14ac:dyDescent="0.25">
      <c r="A91" s="44" t="s">
        <v>133</v>
      </c>
      <c r="B91" s="41" t="s">
        <v>44</v>
      </c>
      <c r="C91" s="57"/>
      <c r="D91" s="32"/>
      <c r="E91" s="2"/>
      <c r="F91" s="2">
        <v>14952</v>
      </c>
      <c r="G91" s="49">
        <f t="shared" si="5"/>
        <v>14952</v>
      </c>
      <c r="H91" s="49">
        <f t="shared" si="6"/>
        <v>14952</v>
      </c>
      <c r="I91" s="5"/>
    </row>
    <row r="92" spans="1:9" x14ac:dyDescent="0.25">
      <c r="A92" s="44" t="s">
        <v>133</v>
      </c>
      <c r="B92" s="41" t="s">
        <v>41</v>
      </c>
      <c r="C92" s="57"/>
      <c r="D92" s="32"/>
      <c r="E92" s="2"/>
      <c r="F92" s="2">
        <v>21390</v>
      </c>
      <c r="G92" s="49">
        <f t="shared" si="5"/>
        <v>21390</v>
      </c>
      <c r="H92" s="49">
        <f t="shared" si="6"/>
        <v>21390</v>
      </c>
      <c r="I92" s="5"/>
    </row>
    <row r="93" spans="1:9" x14ac:dyDescent="0.25">
      <c r="A93" s="44" t="s">
        <v>133</v>
      </c>
      <c r="B93" s="41" t="s">
        <v>159</v>
      </c>
      <c r="C93" s="57"/>
      <c r="D93" s="32"/>
      <c r="E93" s="2"/>
      <c r="F93" s="2">
        <v>17029</v>
      </c>
      <c r="G93" s="49">
        <f t="shared" si="5"/>
        <v>17029</v>
      </c>
      <c r="H93" s="49">
        <f t="shared" si="6"/>
        <v>17029</v>
      </c>
      <c r="I93" s="5"/>
    </row>
    <row r="94" spans="1:9" x14ac:dyDescent="0.25">
      <c r="A94" s="44" t="s">
        <v>133</v>
      </c>
      <c r="B94" s="41" t="s">
        <v>45</v>
      </c>
      <c r="C94" s="57"/>
      <c r="D94" s="32"/>
      <c r="E94" s="2"/>
      <c r="F94" s="2">
        <v>36239</v>
      </c>
      <c r="G94" s="49">
        <f t="shared" si="5"/>
        <v>36239</v>
      </c>
      <c r="H94" s="49">
        <f t="shared" si="6"/>
        <v>36239</v>
      </c>
      <c r="I94" s="5"/>
    </row>
    <row r="95" spans="1:9" x14ac:dyDescent="0.25">
      <c r="A95" s="44" t="s">
        <v>133</v>
      </c>
      <c r="B95" s="41" t="s">
        <v>190</v>
      </c>
      <c r="C95" s="57"/>
      <c r="D95" s="32"/>
      <c r="E95" s="2"/>
      <c r="F95" s="2">
        <v>17756</v>
      </c>
      <c r="G95" s="49">
        <f t="shared" si="5"/>
        <v>17756</v>
      </c>
      <c r="H95" s="49">
        <f t="shared" si="6"/>
        <v>17756</v>
      </c>
      <c r="I95" s="5"/>
    </row>
    <row r="96" spans="1:9" x14ac:dyDescent="0.25">
      <c r="A96" s="44" t="s">
        <v>133</v>
      </c>
      <c r="B96" s="41" t="s">
        <v>43</v>
      </c>
      <c r="C96" s="57"/>
      <c r="D96" s="32"/>
      <c r="E96" s="2"/>
      <c r="F96" s="2">
        <v>20560</v>
      </c>
      <c r="G96" s="49">
        <f t="shared" si="5"/>
        <v>20560</v>
      </c>
      <c r="H96" s="49">
        <f t="shared" si="6"/>
        <v>20560</v>
      </c>
      <c r="I96" s="5"/>
    </row>
    <row r="97" spans="1:9" x14ac:dyDescent="0.25">
      <c r="A97" s="44" t="s">
        <v>133</v>
      </c>
      <c r="B97" s="41" t="s">
        <v>38</v>
      </c>
      <c r="C97" s="57"/>
      <c r="D97" s="32"/>
      <c r="E97" s="2"/>
      <c r="F97" s="2">
        <v>17237</v>
      </c>
      <c r="G97" s="49">
        <f t="shared" si="5"/>
        <v>17237</v>
      </c>
      <c r="H97" s="49">
        <f t="shared" si="6"/>
        <v>17237</v>
      </c>
      <c r="I97" s="5"/>
    </row>
    <row r="98" spans="1:9" x14ac:dyDescent="0.25">
      <c r="A98" s="44" t="s">
        <v>133</v>
      </c>
      <c r="B98" s="41" t="s">
        <v>47</v>
      </c>
      <c r="C98" s="57"/>
      <c r="D98" s="32"/>
      <c r="E98" s="2"/>
      <c r="F98" s="2">
        <v>17237</v>
      </c>
      <c r="G98" s="49">
        <v>17237</v>
      </c>
      <c r="H98" s="49">
        <v>17237</v>
      </c>
      <c r="I98" s="5"/>
    </row>
    <row r="99" spans="1:9" x14ac:dyDescent="0.25">
      <c r="A99" s="44" t="s">
        <v>133</v>
      </c>
      <c r="B99" s="41" t="s">
        <v>149</v>
      </c>
      <c r="C99" s="57"/>
      <c r="D99" s="32"/>
      <c r="E99" s="2"/>
      <c r="F99" s="2">
        <v>17237</v>
      </c>
      <c r="G99" s="49">
        <f t="shared" si="5"/>
        <v>17237</v>
      </c>
      <c r="H99" s="49">
        <f t="shared" si="6"/>
        <v>17237</v>
      </c>
      <c r="I99" s="5"/>
    </row>
    <row r="100" spans="1:9" x14ac:dyDescent="0.25">
      <c r="A100" s="44" t="s">
        <v>133</v>
      </c>
      <c r="B100" s="41" t="s">
        <v>39</v>
      </c>
      <c r="C100" s="57"/>
      <c r="D100" s="32"/>
      <c r="E100" s="2"/>
      <c r="F100" s="2">
        <v>12772</v>
      </c>
      <c r="G100" s="49">
        <f t="shared" si="5"/>
        <v>12772</v>
      </c>
      <c r="H100" s="49">
        <f t="shared" si="6"/>
        <v>12772</v>
      </c>
      <c r="I100" s="5"/>
    </row>
    <row r="101" spans="1:9" x14ac:dyDescent="0.25">
      <c r="A101" s="44" t="s">
        <v>133</v>
      </c>
      <c r="B101" s="41" t="s">
        <v>40</v>
      </c>
      <c r="C101" s="57"/>
      <c r="D101" s="32"/>
      <c r="E101" s="2"/>
      <c r="F101" s="2">
        <v>14226</v>
      </c>
      <c r="G101" s="49">
        <f t="shared" si="5"/>
        <v>14226</v>
      </c>
      <c r="H101" s="49">
        <f t="shared" si="6"/>
        <v>14226</v>
      </c>
      <c r="I101" s="5"/>
    </row>
    <row r="102" spans="1:9" x14ac:dyDescent="0.25">
      <c r="A102" s="44" t="s">
        <v>133</v>
      </c>
      <c r="B102" s="41" t="s">
        <v>50</v>
      </c>
      <c r="C102" s="57"/>
      <c r="D102" s="32"/>
      <c r="E102" s="2"/>
      <c r="F102" s="2">
        <v>14329</v>
      </c>
      <c r="G102" s="49">
        <f t="shared" si="5"/>
        <v>14329</v>
      </c>
      <c r="H102" s="49">
        <f t="shared" si="6"/>
        <v>14329</v>
      </c>
      <c r="I102" s="5"/>
    </row>
    <row r="103" spans="1:9" x14ac:dyDescent="0.25">
      <c r="A103" s="44" t="s">
        <v>133</v>
      </c>
      <c r="B103" s="41" t="s">
        <v>42</v>
      </c>
      <c r="C103" s="57"/>
      <c r="D103" s="32"/>
      <c r="E103" s="2"/>
      <c r="F103" s="2">
        <v>18067</v>
      </c>
      <c r="G103" s="49">
        <f t="shared" si="5"/>
        <v>18067</v>
      </c>
      <c r="H103" s="49">
        <f t="shared" si="6"/>
        <v>18067</v>
      </c>
      <c r="I103" s="5"/>
    </row>
    <row r="104" spans="1:9" x14ac:dyDescent="0.25">
      <c r="A104" s="44" t="s">
        <v>133</v>
      </c>
      <c r="B104" s="41" t="s">
        <v>156</v>
      </c>
      <c r="C104" s="57"/>
      <c r="D104" s="32"/>
      <c r="E104" s="2"/>
      <c r="F104" s="2">
        <v>17237</v>
      </c>
      <c r="G104" s="49">
        <v>17237</v>
      </c>
      <c r="H104" s="49">
        <v>17237</v>
      </c>
      <c r="I104" s="5"/>
    </row>
    <row r="105" spans="1:9" x14ac:dyDescent="0.25">
      <c r="A105" s="44" t="s">
        <v>133</v>
      </c>
      <c r="B105" s="41" t="s">
        <v>191</v>
      </c>
      <c r="C105" s="57"/>
      <c r="D105" s="32"/>
      <c r="E105" s="2"/>
      <c r="F105" s="2">
        <v>17029</v>
      </c>
      <c r="G105" s="49">
        <f t="shared" si="5"/>
        <v>17029</v>
      </c>
      <c r="H105" s="49">
        <f t="shared" si="6"/>
        <v>17029</v>
      </c>
      <c r="I105" s="5"/>
    </row>
    <row r="106" spans="1:9" x14ac:dyDescent="0.25">
      <c r="A106" s="44" t="s">
        <v>133</v>
      </c>
      <c r="B106" s="41" t="s">
        <v>48</v>
      </c>
      <c r="C106" s="57"/>
      <c r="D106" s="32"/>
      <c r="E106" s="2"/>
      <c r="F106" s="2">
        <v>70000</v>
      </c>
      <c r="G106" s="49">
        <f t="shared" si="5"/>
        <v>70000</v>
      </c>
      <c r="H106" s="49">
        <f t="shared" si="6"/>
        <v>70000</v>
      </c>
      <c r="I106" s="5"/>
    </row>
    <row r="107" spans="1:9" ht="16.5" thickBot="1" x14ac:dyDescent="0.3">
      <c r="A107" s="45" t="s">
        <v>133</v>
      </c>
      <c r="B107" s="46" t="s">
        <v>46</v>
      </c>
      <c r="C107" s="58"/>
      <c r="D107" s="31"/>
      <c r="E107" s="6"/>
      <c r="F107" s="6">
        <v>38835</v>
      </c>
      <c r="G107" s="38">
        <f t="shared" si="5"/>
        <v>38835</v>
      </c>
      <c r="H107" s="38">
        <f t="shared" si="6"/>
        <v>38835</v>
      </c>
      <c r="I107" s="7"/>
    </row>
    <row r="108" spans="1:9" x14ac:dyDescent="0.25">
      <c r="A108" s="47" t="s">
        <v>2</v>
      </c>
      <c r="B108" s="48" t="s">
        <v>132</v>
      </c>
      <c r="C108" s="59"/>
      <c r="D108" s="33"/>
      <c r="E108" s="3"/>
      <c r="F108" s="3">
        <v>12000</v>
      </c>
      <c r="G108" s="3">
        <f>+F108</f>
        <v>12000</v>
      </c>
      <c r="H108" s="3">
        <f>+F108</f>
        <v>12000</v>
      </c>
      <c r="I108" s="8"/>
    </row>
    <row r="109" spans="1:9" x14ac:dyDescent="0.25">
      <c r="A109" s="44" t="s">
        <v>2</v>
      </c>
      <c r="B109" s="41" t="s">
        <v>131</v>
      </c>
      <c r="C109" s="57"/>
      <c r="D109" s="32"/>
      <c r="E109" s="2"/>
      <c r="F109" s="2">
        <v>25000</v>
      </c>
      <c r="G109" s="2">
        <f>+F109</f>
        <v>25000</v>
      </c>
      <c r="H109" s="2">
        <f>+F109</f>
        <v>25000</v>
      </c>
      <c r="I109" s="5"/>
    </row>
    <row r="110" spans="1:9" x14ac:dyDescent="0.25">
      <c r="A110" s="44" t="s">
        <v>2</v>
      </c>
      <c r="B110" s="41" t="s">
        <v>180</v>
      </c>
      <c r="C110" s="57"/>
      <c r="D110" s="32"/>
      <c r="E110" s="2"/>
      <c r="F110" s="2">
        <v>22000</v>
      </c>
      <c r="G110" s="2">
        <v>22000</v>
      </c>
      <c r="H110" s="2">
        <v>22000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134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187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204</v>
      </c>
      <c r="C121" s="57"/>
      <c r="D121" s="32"/>
      <c r="E121" s="2"/>
      <c r="F121" s="2">
        <v>32000</v>
      </c>
      <c r="G121" s="2">
        <v>32000</v>
      </c>
      <c r="H121" s="2">
        <v>32000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130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ht="16.5" thickBot="1" x14ac:dyDescent="0.3">
      <c r="A125" s="50" t="s">
        <v>2</v>
      </c>
      <c r="B125" s="51" t="s">
        <v>207</v>
      </c>
      <c r="C125" s="60"/>
      <c r="D125" s="40"/>
      <c r="E125" s="4"/>
      <c r="F125" s="4">
        <v>32000</v>
      </c>
      <c r="G125" s="4">
        <v>32000</v>
      </c>
      <c r="H125" s="4">
        <v>32000</v>
      </c>
      <c r="I125" s="12"/>
    </row>
    <row r="126" spans="1:9" x14ac:dyDescent="0.25">
      <c r="A126" s="42" t="s">
        <v>135</v>
      </c>
      <c r="B126" s="43" t="s">
        <v>3</v>
      </c>
      <c r="C126" s="56"/>
      <c r="D126" s="30"/>
      <c r="E126" s="13"/>
      <c r="F126" s="13">
        <v>24000</v>
      </c>
      <c r="G126" s="13">
        <v>24000</v>
      </c>
      <c r="H126" s="13">
        <v>24000</v>
      </c>
      <c r="I126" s="14"/>
    </row>
    <row r="127" spans="1:9" x14ac:dyDescent="0.25">
      <c r="A127" s="44" t="s">
        <v>135</v>
      </c>
      <c r="B127" s="41" t="s">
        <v>217</v>
      </c>
      <c r="C127" s="57"/>
      <c r="D127" s="32"/>
      <c r="E127" s="2"/>
      <c r="F127" s="2">
        <v>72000</v>
      </c>
      <c r="G127" s="2">
        <v>72000</v>
      </c>
      <c r="H127" s="2">
        <v>72000</v>
      </c>
      <c r="I127" s="5"/>
    </row>
    <row r="128" spans="1:9" x14ac:dyDescent="0.25">
      <c r="A128" s="44" t="s">
        <v>135</v>
      </c>
      <c r="B128" s="41" t="s">
        <v>218</v>
      </c>
      <c r="C128" s="57"/>
      <c r="D128" s="32"/>
      <c r="E128" s="2"/>
      <c r="F128" s="2">
        <v>87200</v>
      </c>
      <c r="G128" s="2">
        <v>87200</v>
      </c>
      <c r="H128" s="2">
        <v>87200</v>
      </c>
      <c r="I128" s="5"/>
    </row>
    <row r="129" spans="1:9" x14ac:dyDescent="0.25">
      <c r="A129" s="44" t="s">
        <v>135</v>
      </c>
      <c r="B129" s="41" t="s">
        <v>219</v>
      </c>
      <c r="C129" s="57"/>
      <c r="D129" s="32"/>
      <c r="E129" s="2"/>
      <c r="F129" s="2">
        <v>35000</v>
      </c>
      <c r="G129" s="2">
        <v>35000</v>
      </c>
      <c r="H129" s="2">
        <v>35000</v>
      </c>
      <c r="I129" s="5"/>
    </row>
    <row r="130" spans="1:9" x14ac:dyDescent="0.25">
      <c r="A130" s="44" t="s">
        <v>135</v>
      </c>
      <c r="B130" s="41" t="s">
        <v>136</v>
      </c>
      <c r="C130" s="57"/>
      <c r="D130" s="32"/>
      <c r="E130" s="2"/>
      <c r="F130" s="2">
        <v>16640</v>
      </c>
      <c r="G130" s="2">
        <v>16640</v>
      </c>
      <c r="H130" s="2">
        <v>16640</v>
      </c>
      <c r="I130" s="5"/>
    </row>
    <row r="131" spans="1:9" x14ac:dyDescent="0.25">
      <c r="A131" s="44" t="s">
        <v>135</v>
      </c>
      <c r="B131" s="41" t="s">
        <v>125</v>
      </c>
      <c r="C131" s="57"/>
      <c r="D131" s="32"/>
      <c r="E131" s="2"/>
      <c r="F131" s="2">
        <v>9600</v>
      </c>
      <c r="G131" s="2">
        <v>9600</v>
      </c>
      <c r="H131" s="2">
        <v>9600</v>
      </c>
      <c r="I131" s="5"/>
    </row>
    <row r="132" spans="1:9" x14ac:dyDescent="0.25">
      <c r="A132" s="44" t="s">
        <v>135</v>
      </c>
      <c r="B132" s="41" t="s">
        <v>137</v>
      </c>
      <c r="C132" s="57"/>
      <c r="D132" s="32"/>
      <c r="E132" s="2"/>
      <c r="F132" s="2">
        <v>16640</v>
      </c>
      <c r="G132" s="2">
        <v>16640</v>
      </c>
      <c r="H132" s="2">
        <v>16640</v>
      </c>
      <c r="I132" s="5"/>
    </row>
    <row r="133" spans="1:9" x14ac:dyDescent="0.25">
      <c r="A133" s="44" t="s">
        <v>135</v>
      </c>
      <c r="B133" s="41" t="s">
        <v>125</v>
      </c>
      <c r="C133" s="57"/>
      <c r="D133" s="32"/>
      <c r="E133" s="2"/>
      <c r="F133" s="2">
        <v>9600</v>
      </c>
      <c r="G133" s="2">
        <v>9600</v>
      </c>
      <c r="H133" s="2">
        <v>9600</v>
      </c>
      <c r="I133" s="5"/>
    </row>
    <row r="134" spans="1:9" x14ac:dyDescent="0.25">
      <c r="A134" s="44" t="s">
        <v>135</v>
      </c>
      <c r="B134" s="41" t="s">
        <v>138</v>
      </c>
      <c r="C134" s="57"/>
      <c r="D134" s="32"/>
      <c r="E134" s="2"/>
      <c r="F134" s="2">
        <v>16640</v>
      </c>
      <c r="G134" s="2">
        <v>16640</v>
      </c>
      <c r="H134" s="2">
        <v>16640</v>
      </c>
      <c r="I134" s="5"/>
    </row>
    <row r="135" spans="1:9" x14ac:dyDescent="0.25">
      <c r="A135" s="44" t="s">
        <v>135</v>
      </c>
      <c r="B135" s="41" t="s">
        <v>125</v>
      </c>
      <c r="C135" s="57"/>
      <c r="D135" s="32"/>
      <c r="E135" s="2"/>
      <c r="F135" s="2">
        <v>9600</v>
      </c>
      <c r="G135" s="2">
        <v>9600</v>
      </c>
      <c r="H135" s="2">
        <v>9600</v>
      </c>
      <c r="I135" s="5"/>
    </row>
    <row r="136" spans="1:9" x14ac:dyDescent="0.25">
      <c r="A136" s="44" t="s">
        <v>135</v>
      </c>
      <c r="B136" s="41" t="s">
        <v>139</v>
      </c>
      <c r="C136" s="57"/>
      <c r="D136" s="32"/>
      <c r="E136" s="2"/>
      <c r="F136" s="2">
        <v>16640</v>
      </c>
      <c r="G136" s="2">
        <v>16640</v>
      </c>
      <c r="H136" s="2">
        <v>16640</v>
      </c>
      <c r="I136" s="5"/>
    </row>
    <row r="137" spans="1:9" x14ac:dyDescent="0.25">
      <c r="A137" s="44" t="s">
        <v>135</v>
      </c>
      <c r="B137" s="41" t="s">
        <v>125</v>
      </c>
      <c r="C137" s="57"/>
      <c r="D137" s="32"/>
      <c r="E137" s="2"/>
      <c r="F137" s="2">
        <v>9600</v>
      </c>
      <c r="G137" s="2">
        <v>9600</v>
      </c>
      <c r="H137" s="2">
        <v>9600</v>
      </c>
      <c r="I137" s="5"/>
    </row>
    <row r="138" spans="1:9" x14ac:dyDescent="0.25">
      <c r="A138" s="44" t="s">
        <v>135</v>
      </c>
      <c r="B138" s="41" t="s">
        <v>140</v>
      </c>
      <c r="C138" s="57"/>
      <c r="D138" s="32"/>
      <c r="E138" s="2"/>
      <c r="F138" s="2">
        <v>16640</v>
      </c>
      <c r="G138" s="2">
        <v>16640</v>
      </c>
      <c r="H138" s="2">
        <v>16640</v>
      </c>
      <c r="I138" s="5"/>
    </row>
    <row r="139" spans="1:9" x14ac:dyDescent="0.25">
      <c r="A139" s="44" t="s">
        <v>135</v>
      </c>
      <c r="B139" s="41" t="s">
        <v>125</v>
      </c>
      <c r="C139" s="57"/>
      <c r="D139" s="32"/>
      <c r="E139" s="2"/>
      <c r="F139" s="2">
        <v>9600</v>
      </c>
      <c r="G139" s="2">
        <v>9600</v>
      </c>
      <c r="H139" s="2">
        <v>9600</v>
      </c>
      <c r="I139" s="5"/>
    </row>
    <row r="140" spans="1:9" x14ac:dyDescent="0.25">
      <c r="A140" s="44" t="s">
        <v>135</v>
      </c>
      <c r="B140" s="41" t="s">
        <v>141</v>
      </c>
      <c r="C140" s="57"/>
      <c r="D140" s="32"/>
      <c r="E140" s="2"/>
      <c r="F140" s="2">
        <v>16640</v>
      </c>
      <c r="G140" s="2">
        <v>16640</v>
      </c>
      <c r="H140" s="2">
        <v>16640</v>
      </c>
      <c r="I140" s="5"/>
    </row>
    <row r="141" spans="1:9" x14ac:dyDescent="0.25">
      <c r="A141" s="44" t="s">
        <v>135</v>
      </c>
      <c r="B141" s="41" t="s">
        <v>125</v>
      </c>
      <c r="C141" s="57"/>
      <c r="D141" s="32"/>
      <c r="E141" s="2"/>
      <c r="F141" s="2">
        <v>9600</v>
      </c>
      <c r="G141" s="2">
        <v>9600</v>
      </c>
      <c r="H141" s="2">
        <v>9600</v>
      </c>
      <c r="I141" s="5"/>
    </row>
    <row r="142" spans="1:9" x14ac:dyDescent="0.25">
      <c r="A142" s="44" t="s">
        <v>135</v>
      </c>
      <c r="B142" s="41" t="s">
        <v>142</v>
      </c>
      <c r="C142" s="57"/>
      <c r="D142" s="32"/>
      <c r="E142" s="2"/>
      <c r="F142" s="2">
        <v>16640</v>
      </c>
      <c r="G142" s="2">
        <v>16640</v>
      </c>
      <c r="H142" s="2">
        <v>16640</v>
      </c>
      <c r="I142" s="5"/>
    </row>
    <row r="143" spans="1:9" x14ac:dyDescent="0.25">
      <c r="A143" s="44" t="s">
        <v>135</v>
      </c>
      <c r="B143" s="41" t="s">
        <v>125</v>
      </c>
      <c r="C143" s="57"/>
      <c r="D143" s="32"/>
      <c r="E143" s="2"/>
      <c r="F143" s="2">
        <v>9600</v>
      </c>
      <c r="G143" s="2">
        <v>9600</v>
      </c>
      <c r="H143" s="2">
        <v>9600</v>
      </c>
      <c r="I143" s="5"/>
    </row>
    <row r="144" spans="1:9" x14ac:dyDescent="0.25">
      <c r="A144" s="44" t="s">
        <v>135</v>
      </c>
      <c r="B144" s="41" t="s">
        <v>127</v>
      </c>
      <c r="C144" s="57"/>
      <c r="D144" s="32"/>
      <c r="E144" s="2"/>
      <c r="F144" s="2">
        <v>36000</v>
      </c>
      <c r="G144" s="2">
        <v>36000</v>
      </c>
      <c r="H144" s="2">
        <v>36000</v>
      </c>
      <c r="I144" s="5"/>
    </row>
    <row r="145" spans="1:9" x14ac:dyDescent="0.25">
      <c r="A145" s="44" t="s">
        <v>135</v>
      </c>
      <c r="B145" s="41" t="s">
        <v>143</v>
      </c>
      <c r="C145" s="57"/>
      <c r="D145" s="32"/>
      <c r="E145" s="2"/>
      <c r="F145" s="2">
        <v>32000</v>
      </c>
      <c r="G145" s="2">
        <v>32000</v>
      </c>
      <c r="H145" s="2">
        <v>32000</v>
      </c>
      <c r="I145" s="5"/>
    </row>
    <row r="146" spans="1:9" x14ac:dyDescent="0.25">
      <c r="A146" s="44" t="s">
        <v>135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135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135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135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135</v>
      </c>
      <c r="B150" s="41" t="s">
        <v>41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135</v>
      </c>
      <c r="B151" s="41" t="s">
        <v>42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135</v>
      </c>
      <c r="B152" s="41" t="s">
        <v>148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135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135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135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135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135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135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135</v>
      </c>
      <c r="B159" s="41" t="s">
        <v>39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135</v>
      </c>
      <c r="B160" s="41" t="s">
        <v>155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135</v>
      </c>
      <c r="B161" s="41" t="s">
        <v>156</v>
      </c>
      <c r="C161" s="57"/>
      <c r="D161" s="32"/>
      <c r="E161" s="2"/>
      <c r="F161" s="2">
        <v>35000</v>
      </c>
      <c r="G161" s="2">
        <v>35000</v>
      </c>
      <c r="H161" s="2">
        <v>35000</v>
      </c>
      <c r="I161" s="5"/>
    </row>
    <row r="162" spans="1:9" x14ac:dyDescent="0.25">
      <c r="A162" s="44" t="s">
        <v>135</v>
      </c>
      <c r="B162" s="41" t="s">
        <v>157</v>
      </c>
      <c r="C162" s="57"/>
      <c r="D162" s="32"/>
      <c r="E162" s="2"/>
      <c r="F162" s="2">
        <v>32000</v>
      </c>
      <c r="G162" s="2">
        <v>32000</v>
      </c>
      <c r="H162" s="2">
        <v>32000</v>
      </c>
      <c r="I162" s="5"/>
    </row>
    <row r="163" spans="1:9" x14ac:dyDescent="0.25">
      <c r="A163" s="44" t="s">
        <v>135</v>
      </c>
      <c r="B163" s="41" t="s">
        <v>220</v>
      </c>
      <c r="C163" s="57"/>
      <c r="D163" s="32"/>
      <c r="E163" s="2"/>
      <c r="F163" s="2">
        <v>68000</v>
      </c>
      <c r="G163" s="2">
        <v>68000</v>
      </c>
      <c r="H163" s="2">
        <v>68000</v>
      </c>
      <c r="I163" s="5"/>
    </row>
    <row r="164" spans="1:9" x14ac:dyDescent="0.25">
      <c r="A164" s="44" t="s">
        <v>135</v>
      </c>
      <c r="B164" s="41" t="s">
        <v>158</v>
      </c>
      <c r="C164" s="57"/>
      <c r="D164" s="32"/>
      <c r="E164" s="2"/>
      <c r="F164" s="2">
        <v>32000</v>
      </c>
      <c r="G164" s="2">
        <v>32000</v>
      </c>
      <c r="H164" s="2">
        <v>32000</v>
      </c>
      <c r="I164" s="5"/>
    </row>
    <row r="165" spans="1:9" x14ac:dyDescent="0.25">
      <c r="A165" s="44" t="s">
        <v>135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135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135</v>
      </c>
      <c r="B167" s="41" t="s">
        <v>126</v>
      </c>
      <c r="C167" s="57"/>
      <c r="D167" s="32"/>
      <c r="E167" s="2"/>
      <c r="F167" s="2">
        <v>78000</v>
      </c>
      <c r="G167" s="2">
        <v>78000</v>
      </c>
      <c r="H167" s="2">
        <v>78000</v>
      </c>
      <c r="I167" s="5"/>
    </row>
    <row r="168" spans="1:9" x14ac:dyDescent="0.25">
      <c r="A168" s="44" t="s">
        <v>135</v>
      </c>
      <c r="B168" s="41" t="s">
        <v>128</v>
      </c>
      <c r="C168" s="57"/>
      <c r="D168" s="32"/>
      <c r="E168" s="2"/>
      <c r="F168" s="2">
        <v>60000</v>
      </c>
      <c r="G168" s="2">
        <v>60000</v>
      </c>
      <c r="H168" s="2">
        <v>60000</v>
      </c>
      <c r="I168" s="5"/>
    </row>
    <row r="169" spans="1:9" x14ac:dyDescent="0.25">
      <c r="A169" s="44" t="s">
        <v>135</v>
      </c>
      <c r="B169" s="41" t="s">
        <v>129</v>
      </c>
      <c r="C169" s="57"/>
      <c r="D169" s="32"/>
      <c r="E169" s="2"/>
      <c r="F169" s="2">
        <v>100000</v>
      </c>
      <c r="G169" s="2">
        <v>100000</v>
      </c>
      <c r="H169" s="2">
        <v>100000</v>
      </c>
      <c r="I169" s="5"/>
    </row>
    <row r="170" spans="1:9" x14ac:dyDescent="0.25">
      <c r="A170" s="44" t="s">
        <v>135</v>
      </c>
      <c r="B170" s="41" t="s">
        <v>130</v>
      </c>
      <c r="C170" s="57"/>
      <c r="D170" s="32"/>
      <c r="E170" s="2"/>
      <c r="F170" s="2">
        <v>75000</v>
      </c>
      <c r="G170" s="2">
        <v>75000</v>
      </c>
      <c r="H170" s="2">
        <v>75000</v>
      </c>
      <c r="I170" s="5"/>
    </row>
    <row r="171" spans="1:9" x14ac:dyDescent="0.25">
      <c r="A171" s="44" t="s">
        <v>135</v>
      </c>
      <c r="B171" s="41" t="s">
        <v>207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135</v>
      </c>
      <c r="B172" s="41" t="s">
        <v>161</v>
      </c>
      <c r="C172" s="57"/>
      <c r="D172" s="32"/>
      <c r="E172" s="2"/>
      <c r="F172" s="2">
        <v>106880</v>
      </c>
      <c r="G172" s="2">
        <v>106880</v>
      </c>
      <c r="H172" s="2">
        <v>106880</v>
      </c>
      <c r="I172" s="5"/>
    </row>
    <row r="173" spans="1:9" x14ac:dyDescent="0.25">
      <c r="A173" s="44" t="s">
        <v>135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135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135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135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135</v>
      </c>
      <c r="B177" s="41" t="s">
        <v>177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135</v>
      </c>
      <c r="B178" s="41" t="s">
        <v>166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135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135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135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135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135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135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135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135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135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ht="16.5" thickBot="1" x14ac:dyDescent="0.3">
      <c r="A188" s="50" t="s">
        <v>135</v>
      </c>
      <c r="B188" s="51" t="s">
        <v>176</v>
      </c>
      <c r="C188" s="60"/>
      <c r="D188" s="40"/>
      <c r="E188" s="4"/>
      <c r="F188" s="4">
        <v>106880</v>
      </c>
      <c r="G188" s="4">
        <v>106880</v>
      </c>
      <c r="H188" s="4">
        <v>106880</v>
      </c>
      <c r="I188" s="12"/>
    </row>
    <row r="189" spans="1:9" ht="16.5" thickBot="1" x14ac:dyDescent="0.3">
      <c r="A189" s="52" t="s">
        <v>4</v>
      </c>
      <c r="B189" s="53" t="s">
        <v>26</v>
      </c>
      <c r="C189" s="61"/>
      <c r="D189" s="62"/>
      <c r="E189" s="54"/>
      <c r="F189" s="54">
        <v>40000</v>
      </c>
      <c r="G189" s="54">
        <v>40000</v>
      </c>
      <c r="H189" s="54">
        <v>40000</v>
      </c>
      <c r="I189" s="55"/>
    </row>
    <row r="190" spans="1:9" x14ac:dyDescent="0.25">
      <c r="A190" s="42" t="s">
        <v>179</v>
      </c>
      <c r="B190" s="43" t="s">
        <v>108</v>
      </c>
      <c r="C190" s="56"/>
      <c r="D190" s="30"/>
      <c r="E190" s="13">
        <v>15000</v>
      </c>
      <c r="F190" s="13">
        <v>15000</v>
      </c>
      <c r="G190" s="13">
        <v>15000</v>
      </c>
      <c r="H190" s="13">
        <v>15000</v>
      </c>
      <c r="I190" s="14"/>
    </row>
    <row r="191" spans="1:9" x14ac:dyDescent="0.25">
      <c r="A191" s="44" t="s">
        <v>179</v>
      </c>
      <c r="B191" s="41" t="s">
        <v>109</v>
      </c>
      <c r="C191" s="57"/>
      <c r="D191" s="32"/>
      <c r="E191" s="2">
        <v>18000</v>
      </c>
      <c r="F191" s="2">
        <v>15000</v>
      </c>
      <c r="G191" s="2">
        <v>15000</v>
      </c>
      <c r="H191" s="2">
        <v>15000</v>
      </c>
      <c r="I191" s="5"/>
    </row>
    <row r="192" spans="1:9" x14ac:dyDescent="0.25">
      <c r="A192" s="44" t="s">
        <v>179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179</v>
      </c>
      <c r="B193" s="41" t="s">
        <v>178</v>
      </c>
      <c r="C193" s="57"/>
      <c r="D193" s="32"/>
      <c r="E193" s="2"/>
      <c r="F193" s="2">
        <v>20000</v>
      </c>
      <c r="G193" s="2">
        <v>20000</v>
      </c>
      <c r="H193" s="2">
        <v>20000</v>
      </c>
      <c r="I193" s="5"/>
    </row>
    <row r="194" spans="1:9" ht="16.5" thickBot="1" x14ac:dyDescent="0.3">
      <c r="A194" s="45" t="s">
        <v>179</v>
      </c>
      <c r="B194" s="46" t="s">
        <v>111</v>
      </c>
      <c r="C194" s="58"/>
      <c r="D194" s="31"/>
      <c r="E194" s="6"/>
      <c r="F194" s="6">
        <v>20000</v>
      </c>
      <c r="G194" s="6">
        <v>20000</v>
      </c>
      <c r="H194" s="6">
        <v>20000</v>
      </c>
      <c r="I194" s="7"/>
    </row>
    <row r="195" spans="1:9" x14ac:dyDescent="0.25">
      <c r="A195" s="47" t="s">
        <v>196</v>
      </c>
      <c r="B195" s="48" t="s">
        <v>197</v>
      </c>
      <c r="C195" s="59"/>
      <c r="D195" s="33"/>
      <c r="E195" s="3"/>
      <c r="F195" s="3">
        <v>35000</v>
      </c>
      <c r="G195" s="3">
        <v>35000</v>
      </c>
      <c r="H195" s="3">
        <v>35000</v>
      </c>
      <c r="I195" s="8"/>
    </row>
    <row r="196" spans="1:9" ht="16.5" thickBot="1" x14ac:dyDescent="0.3">
      <c r="A196" s="45" t="s">
        <v>196</v>
      </c>
      <c r="B196" s="46" t="s">
        <v>198</v>
      </c>
      <c r="C196" s="58"/>
      <c r="D196" s="31"/>
      <c r="E196" s="6"/>
      <c r="F196" s="6">
        <v>35000</v>
      </c>
      <c r="G196" s="6">
        <v>35000</v>
      </c>
      <c r="H196" s="6">
        <v>35000</v>
      </c>
      <c r="I196" s="7"/>
    </row>
    <row r="197" spans="1:9" x14ac:dyDescent="0.25">
      <c r="A197" s="42" t="s">
        <v>221</v>
      </c>
      <c r="B197" s="56" t="s">
        <v>222</v>
      </c>
      <c r="C197" s="56"/>
      <c r="D197" s="30">
        <v>200000</v>
      </c>
      <c r="E197" s="13">
        <v>150000</v>
      </c>
      <c r="F197" s="13">
        <v>75000</v>
      </c>
      <c r="G197" s="13">
        <v>50000</v>
      </c>
      <c r="H197" s="13">
        <v>50000</v>
      </c>
      <c r="I197" s="14"/>
    </row>
    <row r="198" spans="1:9" x14ac:dyDescent="0.25">
      <c r="A198" s="44" t="s">
        <v>221</v>
      </c>
      <c r="B198" s="57" t="s">
        <v>223</v>
      </c>
      <c r="C198" s="57"/>
      <c r="D198" s="32"/>
      <c r="E198" s="2"/>
      <c r="F198" s="2"/>
      <c r="G198" s="2">
        <v>80000</v>
      </c>
      <c r="H198" s="2">
        <v>80000</v>
      </c>
      <c r="I198" s="5"/>
    </row>
    <row r="199" spans="1:9" ht="16.5" thickBot="1" x14ac:dyDescent="0.3">
      <c r="A199" s="50" t="s">
        <v>221</v>
      </c>
      <c r="B199" s="51" t="s">
        <v>224</v>
      </c>
      <c r="C199" s="60"/>
      <c r="D199" s="40">
        <v>200000</v>
      </c>
      <c r="E199" s="4">
        <v>80000</v>
      </c>
      <c r="F199" s="4">
        <v>40000</v>
      </c>
      <c r="G199" s="4"/>
      <c r="H199" s="4"/>
      <c r="I199" s="12"/>
    </row>
    <row r="200" spans="1:9" ht="16.5" thickBot="1" x14ac:dyDescent="0.3">
      <c r="A200" s="63" t="s">
        <v>225</v>
      </c>
      <c r="B200" s="64" t="s">
        <v>222</v>
      </c>
      <c r="C200" s="67"/>
      <c r="D200" s="34">
        <v>280000</v>
      </c>
      <c r="E200" s="25">
        <v>225000</v>
      </c>
      <c r="F200" s="25">
        <v>180000</v>
      </c>
      <c r="G200" s="25">
        <v>120000</v>
      </c>
      <c r="H200" s="25">
        <v>120000</v>
      </c>
      <c r="I200" s="26"/>
    </row>
  </sheetData>
  <sortState ref="B89:B126">
    <sortCondition ref="B89"/>
  </sortState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2026-09-22T16:37:52Z</dcterms:modified>
</cp:coreProperties>
</file>
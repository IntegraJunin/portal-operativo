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ARIEL\"/>
    </mc:Choice>
  </mc:AlternateContent>
  <bookViews>
    <workbookView xWindow="0" yWindow="0" windowWidth="20490" windowHeight="7530"/>
  </bookViews>
  <sheets>
    <sheet name="VALORES" sheetId="1" r:id="rId1"/>
  </sheets>
  <definedNames>
    <definedName name="_xlnm.Print_Area" localSheetId="0">VALORES!$A$130:$G$163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5" i="1"/>
  <c r="F151" i="1" l="1"/>
  <c r="G151" i="1"/>
  <c r="G105" i="1"/>
  <c r="G106" i="1"/>
  <c r="G107" i="1"/>
  <c r="G108" i="1"/>
  <c r="G110" i="1"/>
  <c r="G111" i="1"/>
  <c r="G112" i="1"/>
  <c r="G114" i="1"/>
  <c r="G115" i="1"/>
  <c r="G117" i="1"/>
  <c r="G118" i="1"/>
  <c r="G119" i="1"/>
  <c r="G120" i="1"/>
  <c r="G122" i="1"/>
  <c r="G123" i="1"/>
  <c r="G124" i="1"/>
  <c r="G125" i="1"/>
  <c r="G127" i="1"/>
  <c r="G128" i="1"/>
  <c r="G129" i="1"/>
  <c r="G104" i="1"/>
  <c r="F105" i="1"/>
  <c r="F106" i="1"/>
  <c r="F107" i="1"/>
  <c r="F108" i="1"/>
  <c r="F110" i="1"/>
  <c r="F111" i="1"/>
  <c r="F112" i="1"/>
  <c r="F114" i="1"/>
  <c r="F115" i="1"/>
  <c r="F117" i="1"/>
  <c r="F118" i="1"/>
  <c r="F119" i="1"/>
  <c r="F120" i="1"/>
  <c r="F122" i="1"/>
  <c r="F123" i="1"/>
  <c r="F124" i="1"/>
  <c r="F125" i="1"/>
  <c r="F127" i="1"/>
  <c r="F128" i="1"/>
  <c r="F129" i="1"/>
  <c r="F104" i="1"/>
  <c r="G101" i="1"/>
  <c r="G100" i="1"/>
  <c r="F101" i="1"/>
  <c r="F100" i="1"/>
  <c r="B97" i="1"/>
  <c r="H97" i="1" s="1"/>
  <c r="B98" i="1"/>
  <c r="H98" i="1" s="1"/>
  <c r="B96" i="1"/>
  <c r="H96" i="1" s="1"/>
  <c r="G87" i="1" l="1"/>
  <c r="G86" i="1"/>
  <c r="G88" i="1"/>
  <c r="G89" i="1"/>
  <c r="G90" i="1"/>
  <c r="G92" i="1"/>
  <c r="G93" i="1"/>
  <c r="G94" i="1"/>
  <c r="G96" i="1"/>
  <c r="G97" i="1"/>
  <c r="G98" i="1"/>
  <c r="F86" i="1"/>
  <c r="F87" i="1"/>
  <c r="F88" i="1"/>
  <c r="F89" i="1"/>
  <c r="F90" i="1"/>
  <c r="F92" i="1"/>
  <c r="F93" i="1"/>
  <c r="F94" i="1"/>
  <c r="F96" i="1"/>
  <c r="F97" i="1"/>
  <c r="F98" i="1"/>
  <c r="G71" i="1"/>
  <c r="G73" i="1"/>
  <c r="G74" i="1"/>
  <c r="G76" i="1"/>
  <c r="G77" i="1"/>
  <c r="G79" i="1"/>
  <c r="G80" i="1"/>
  <c r="G81" i="1"/>
  <c r="G82" i="1"/>
  <c r="F73" i="1"/>
  <c r="F74" i="1"/>
  <c r="F76" i="1"/>
  <c r="F77" i="1"/>
  <c r="F79" i="1"/>
  <c r="F80" i="1"/>
  <c r="F81" i="1"/>
  <c r="F82" i="1"/>
  <c r="F71" i="1"/>
  <c r="F70" i="1"/>
  <c r="G70" i="1"/>
  <c r="G68" i="1"/>
  <c r="F68" i="1"/>
  <c r="F67" i="1"/>
  <c r="G67" i="1"/>
  <c r="G61" i="1"/>
  <c r="G62" i="1"/>
  <c r="G63" i="1"/>
  <c r="G64" i="1"/>
  <c r="G60" i="1"/>
  <c r="F61" i="1"/>
  <c r="F62" i="1"/>
  <c r="F63" i="1"/>
  <c r="F64" i="1"/>
  <c r="F60" i="1"/>
  <c r="F58" i="1"/>
  <c r="G58" i="1"/>
  <c r="G56" i="1"/>
  <c r="F56" i="1"/>
  <c r="G49" i="1"/>
  <c r="G50" i="1"/>
  <c r="G51" i="1"/>
  <c r="G52" i="1"/>
  <c r="G53" i="1"/>
  <c r="G54" i="1"/>
  <c r="F49" i="1"/>
  <c r="F50" i="1"/>
  <c r="F51" i="1"/>
  <c r="F52" i="1"/>
  <c r="F53" i="1"/>
  <c r="F54" i="1"/>
  <c r="G48" i="1"/>
  <c r="F48" i="1"/>
  <c r="G44" i="1"/>
  <c r="G45" i="1"/>
  <c r="G46" i="1"/>
  <c r="G43" i="1"/>
  <c r="F44" i="1"/>
  <c r="F45" i="1"/>
  <c r="F46" i="1"/>
  <c r="F43" i="1"/>
  <c r="F41" i="1"/>
  <c r="F39" i="1"/>
  <c r="F37" i="1"/>
  <c r="F35" i="1"/>
  <c r="F33" i="1"/>
  <c r="F31" i="1"/>
  <c r="F29" i="1"/>
  <c r="F27" i="1"/>
  <c r="F25" i="1" l="1"/>
  <c r="F23" i="1"/>
  <c r="F21" i="1"/>
  <c r="F19" i="1"/>
  <c r="G41" i="1" l="1"/>
  <c r="G132" i="1"/>
  <c r="B132" i="1" s="1"/>
  <c r="G133" i="1"/>
  <c r="B133" i="1" s="1"/>
  <c r="G134" i="1"/>
  <c r="B134" i="1" s="1"/>
  <c r="G135" i="1"/>
  <c r="B135" i="1" s="1"/>
  <c r="G136" i="1"/>
  <c r="B136" i="1" s="1"/>
  <c r="G137" i="1"/>
  <c r="B137" i="1" s="1"/>
  <c r="G138" i="1"/>
  <c r="B138" i="1" s="1"/>
  <c r="G139" i="1"/>
  <c r="B139" i="1" s="1"/>
  <c r="G140" i="1"/>
  <c r="B140" i="1" s="1"/>
  <c r="G141" i="1"/>
  <c r="B141" i="1" s="1"/>
  <c r="G142" i="1"/>
  <c r="B142" i="1" s="1"/>
  <c r="G143" i="1"/>
  <c r="B143" i="1" s="1"/>
  <c r="G144" i="1"/>
  <c r="B144" i="1" s="1"/>
  <c r="G145" i="1"/>
  <c r="B145" i="1" s="1"/>
  <c r="G146" i="1"/>
  <c r="B146" i="1" s="1"/>
  <c r="G147" i="1"/>
  <c r="B147" i="1" s="1"/>
  <c r="G148" i="1"/>
  <c r="B148" i="1" s="1"/>
  <c r="G149" i="1"/>
  <c r="B149" i="1" s="1"/>
  <c r="G150" i="1"/>
  <c r="B150" i="1" s="1"/>
  <c r="G131" i="1"/>
  <c r="B131" i="1" s="1"/>
  <c r="G39" i="1"/>
  <c r="G37" i="1"/>
  <c r="G35" i="1"/>
  <c r="G33" i="1"/>
  <c r="G31" i="1"/>
  <c r="G29" i="1"/>
  <c r="G27" i="1"/>
  <c r="G25" i="1"/>
  <c r="G23" i="1"/>
  <c r="G21" i="1"/>
  <c r="G19" i="1"/>
  <c r="G16" i="1"/>
  <c r="G15" i="1"/>
  <c r="F146" i="1" l="1"/>
  <c r="F138" i="1"/>
  <c r="F137" i="1"/>
  <c r="F136" i="1"/>
  <c r="F145" i="1"/>
  <c r="F135" i="1"/>
  <c r="F144" i="1"/>
  <c r="F142" i="1"/>
  <c r="F134" i="1"/>
  <c r="F131" i="1"/>
  <c r="F141" i="1"/>
  <c r="F133" i="1"/>
  <c r="F148" i="1"/>
  <c r="F140" i="1"/>
  <c r="F132" i="1"/>
  <c r="F143" i="1"/>
  <c r="F150" i="1"/>
  <c r="F149" i="1"/>
  <c r="F147" i="1"/>
  <c r="F139" i="1"/>
</calcChain>
</file>

<file path=xl/comments1.xml><?xml version="1.0" encoding="utf-8"?>
<comments xmlns="http://schemas.openxmlformats.org/spreadsheetml/2006/main">
  <authors>
    <author>Administracion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de cuota de Coseguro+sepelio+$1000 por cremacion</t>
        </r>
      </text>
    </comment>
    <comment ref="G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de cuota mutual+sepelio+$1000 cremacion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 $30000 que cuesta en promedio la consulta, + el  electro + el inform - los $18000 de consulta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promedio de las consultas particulares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promedio de consultas particulares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balor del bono a opcionales OSECAC, teniendo en cuenta que pagamos la hora a $13000 / 8 = 1625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balor del bono a opcionales OSECAC, teniendo en cuenta que pagamos la hora a $13000 / 8 = 1625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promedio de sesiones particulares, hoy pagamos $8000 la sesion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que cobramos a Opcionales sin SEC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promedio que cobran los Psicologos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No socio, hoy pagamos $15900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 que le pagamos al profecional el valor Coseguro $137000 a un 40% menos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Socio, hoy pagamos al profecional $30150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NO VIGENTE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Socio, hoy pagamos al profecional $30150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</t>
        </r>
      </text>
    </comment>
    <comment ref="B4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5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5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5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 xml:space="preserve">Administracion:
</t>
        </r>
        <r>
          <rPr>
            <sz val="9"/>
            <color indexed="81"/>
            <rFont val="Tahoma"/>
            <family val="2"/>
          </rPr>
          <t>Valor particular. Pagamos $6400 el corte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6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6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7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7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7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General</t>
        </r>
      </text>
    </comment>
    <comment ref="B80" authorId="0" shapeId="0">
      <text>
        <r>
          <rPr>
            <b/>
            <sz val="9"/>
            <color indexed="81"/>
            <rFont val="Tahoma"/>
            <family val="2"/>
          </rPr>
          <t xml:space="preserve">Administrac
</t>
        </r>
        <r>
          <rPr>
            <sz val="9"/>
            <color indexed="81"/>
            <rFont val="Tahoma"/>
            <family val="2"/>
          </rPr>
          <t>valor  General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General</t>
        </r>
      </text>
    </comment>
    <comment ref="B8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General</t>
        </r>
      </text>
    </comment>
    <comment ref="B8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gastos de limpieza $ 64000</t>
        </r>
      </text>
    </comment>
    <comment ref="B8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8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9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 que el valor SEC es el 40%</t>
        </r>
      </text>
    </comment>
    <comment ref="B9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 que el valor SEC es el 40%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 que el valor actual es el Integra 180</t>
        </r>
      </text>
    </comment>
    <comment ref="H9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no tiene tarifa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 que el valor actual es el Integra 180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 que el valor actual es el Integra 180</t>
        </r>
      </text>
    </comment>
    <comment ref="B10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0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0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0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Capponi</t>
        </r>
      </text>
    </comment>
    <comment ref="B13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3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3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5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</t>
        </r>
      </text>
    </comment>
  </commentList>
</comments>
</file>

<file path=xl/sharedStrings.xml><?xml version="1.0" encoding="utf-8"?>
<sst xmlns="http://schemas.openxmlformats.org/spreadsheetml/2006/main" count="390" uniqueCount="160">
  <si>
    <t>CONVENIOS</t>
  </si>
  <si>
    <r>
      <t>CAVITADOR (</t>
    </r>
    <r>
      <rPr>
        <b/>
        <sz val="8"/>
        <rFont val="Arial"/>
        <family val="2"/>
      </rPr>
      <t>METODO DE LIMPIEZA</t>
    </r>
    <r>
      <rPr>
        <b/>
        <sz val="10"/>
        <rFont val="Arial"/>
        <family val="2"/>
      </rPr>
      <t>)</t>
    </r>
  </si>
  <si>
    <t>ENFERMERIA</t>
  </si>
  <si>
    <t xml:space="preserve">COSMETOLOGIA </t>
  </si>
  <si>
    <t>COMED</t>
  </si>
  <si>
    <t>PANORAMICA</t>
  </si>
  <si>
    <t>RX VARIAS</t>
  </si>
  <si>
    <t>MAMOGRAFIA</t>
  </si>
  <si>
    <t>PETRAGLIA</t>
  </si>
  <si>
    <t>SALONES</t>
  </si>
  <si>
    <t>QUINCHO CERRADO 1 Y 2</t>
  </si>
  <si>
    <t>AUDITORIO</t>
  </si>
  <si>
    <t xml:space="preserve">4 HS. </t>
  </si>
  <si>
    <t>8 HS.</t>
  </si>
  <si>
    <t>HONORARIOS RUBEN</t>
  </si>
  <si>
    <t>FAMYL</t>
  </si>
  <si>
    <t>BONOS DE CONSULTA KINESIOLOGIA</t>
  </si>
  <si>
    <t>DIRECTO SEC X 5 SESIONES</t>
  </si>
  <si>
    <t>DIRECTO SEC X 10 SESIONES</t>
  </si>
  <si>
    <t>BONOS DE CONSULTA PSIQUIATRIA</t>
  </si>
  <si>
    <t>OBSTURACION CON AMALGAMA</t>
  </si>
  <si>
    <t>OBSTURACION CON IONOMERO VITRIO</t>
  </si>
  <si>
    <t>OBSTURACION LAMPARA</t>
  </si>
  <si>
    <t>BONOS DE CONSULTA FONOAUDIOLOGIA</t>
  </si>
  <si>
    <t>DRENAJE MEDIO CUERPO</t>
  </si>
  <si>
    <t>DRENAJE CUERPO ENTERO</t>
  </si>
  <si>
    <t>MASAJE FACIAL/CORPORAL</t>
  </si>
  <si>
    <t>MASOTERAPIA</t>
  </si>
  <si>
    <t>REFLEXOLOGIA</t>
  </si>
  <si>
    <t>ESCUELA DE MUSICA</t>
  </si>
  <si>
    <t xml:space="preserve">BONOS DE CONSULTA PSICOLOGIA </t>
  </si>
  <si>
    <t>PODOLOGIA</t>
  </si>
  <si>
    <t>TARIFAS DIARIAS POR CABAÑA</t>
  </si>
  <si>
    <t>LAGUNA</t>
  </si>
  <si>
    <t>2 PERSONAS</t>
  </si>
  <si>
    <t>4 PERSONAS</t>
  </si>
  <si>
    <t>ARROLLO DE LOS PATOS</t>
  </si>
  <si>
    <t>Bs AS</t>
  </si>
  <si>
    <t>RIVIERA</t>
  </si>
  <si>
    <t>USPALLATA</t>
  </si>
  <si>
    <t>GASTOS DE RESERVA Y ADMINISTRATIVOS/ DIARIOS</t>
  </si>
  <si>
    <t>P.A.P.</t>
  </si>
  <si>
    <t>SELLADOR</t>
  </si>
  <si>
    <t>SALON PARA ISTITUCIONES</t>
  </si>
  <si>
    <t>VALOR UNICO x Día</t>
  </si>
  <si>
    <t>ELECTROCARDIOGRAMA</t>
  </si>
  <si>
    <t>AMMEN / CONVENIO NUTRICION</t>
  </si>
  <si>
    <t>CONDUCTOS ODONTOLOGICOS</t>
  </si>
  <si>
    <t>CUOTA MENSUAL</t>
  </si>
  <si>
    <t>MATRICULA ANUAL</t>
  </si>
  <si>
    <t>SEPELIO</t>
  </si>
  <si>
    <t>SEPELIO FAMILIAR</t>
  </si>
  <si>
    <t>ECODOPLER FETAL</t>
  </si>
  <si>
    <t>ECODOPLER OBSTETRICO</t>
  </si>
  <si>
    <t>ECODOPLER TIROIDES</t>
  </si>
  <si>
    <t>ECODOPLER MAMARIO</t>
  </si>
  <si>
    <r>
      <t xml:space="preserve">ECOGRAFIA GINECOLOGICA </t>
    </r>
    <r>
      <rPr>
        <b/>
        <sz val="11"/>
        <color theme="1"/>
        <rFont val="Calibri"/>
        <family val="2"/>
        <scheme val="minor"/>
      </rPr>
      <t>con o sin trasductor vainal</t>
    </r>
  </si>
  <si>
    <t>ECOGRAFIA MAMARIA</t>
  </si>
  <si>
    <t>ECOGRAFIA PAROTIDEA UNI O BILATERAL</t>
  </si>
  <si>
    <t>ECOGRAFIA PARTES BLANDAS</t>
  </si>
  <si>
    <t>ECOGRAFIA COMPLETA DE ABDOMEN</t>
  </si>
  <si>
    <t>ECOGRAFIA RENAL BILATERAL</t>
  </si>
  <si>
    <t>ECOGRAFIA DE EVESICULA SEMINALES</t>
  </si>
  <si>
    <t>ECOGRAFIA DE VEGIGA O PROSTATA con o sin trasductor renal</t>
  </si>
  <si>
    <t>ECOGRAFIA PANCREAATICA O SUPRARENAL</t>
  </si>
  <si>
    <t>ECOGRAFIA HEPATICA, BILIAR, ESPLENICA O TORACICA</t>
  </si>
  <si>
    <t>ECOGRAFIA CADERA</t>
  </si>
  <si>
    <t>ECOGRAFIA FETAL - TRANSLUCENCIA NUCAL</t>
  </si>
  <si>
    <t>SCAN FETAL - ECO MORFOLOGIA FETAL</t>
  </si>
  <si>
    <t>ECOGRAFIA OBSTETRICA</t>
  </si>
  <si>
    <t>ECOGRAFIAS 4D</t>
  </si>
  <si>
    <t>ECOGRAFIA TRASVAGINAL</t>
  </si>
  <si>
    <t>EXTRACCIONES</t>
  </si>
  <si>
    <t>ECOGRAFIA PIEL</t>
  </si>
  <si>
    <t>MECANICOS DENTALES</t>
  </si>
  <si>
    <t>SALON VIP 1</t>
  </si>
  <si>
    <t>SALON GRANDE 2</t>
  </si>
  <si>
    <t>REPARACION SIMPLE</t>
  </si>
  <si>
    <t>REPARACION C/REF.</t>
  </si>
  <si>
    <t>AGREGAR 1 PIEZA O RETENEDOR</t>
  </si>
  <si>
    <t>SUBSIGUIENTE</t>
  </si>
  <si>
    <t>REPARACION</t>
  </si>
  <si>
    <t>REBASADO</t>
  </si>
  <si>
    <t>PROTECIS HASTA 4 DIENTES</t>
  </si>
  <si>
    <t>PROTECIS HASTA 8 DIENTES</t>
  </si>
  <si>
    <t>PROTECIS HASTA 12 DIENTES</t>
  </si>
  <si>
    <t>PLACAS</t>
  </si>
  <si>
    <t>MIORELAJANTE</t>
  </si>
  <si>
    <t>MIORELAJANTE C/ PLANI LISO</t>
  </si>
  <si>
    <t>CROMO</t>
  </si>
  <si>
    <t>COBALTO ARMAZON</t>
  </si>
  <si>
    <t>4 DIENTES HASTA TERMINACION</t>
  </si>
  <si>
    <t>8 DIENTES HASTA TERMINACION</t>
  </si>
  <si>
    <t>12 DIENTES HASTA TERMINACION</t>
  </si>
  <si>
    <t>FIJAS</t>
  </si>
  <si>
    <t>PERNO</t>
  </si>
  <si>
    <t>CAQUETE</t>
  </si>
  <si>
    <t>CORONA CERAMICA BIZCOCHADO</t>
  </si>
  <si>
    <t>CORONA PROVISORIA ACRILICA</t>
  </si>
  <si>
    <t>FLEX 2 A 6 DIENTES</t>
  </si>
  <si>
    <t>FLEX 7 A 14 DIENTES</t>
  </si>
  <si>
    <t>DUPLICACI DE MODULO</t>
  </si>
  <si>
    <t>PROTESIS FLEXIBLES</t>
  </si>
  <si>
    <t xml:space="preserve">CIRUGIAS ODONTOLOGICAS </t>
  </si>
  <si>
    <t>SALON  CHICO</t>
  </si>
  <si>
    <t>Cuotas</t>
  </si>
  <si>
    <t>Consultas / practicas</t>
  </si>
  <si>
    <t xml:space="preserve">BONO SOLIDARIO </t>
  </si>
  <si>
    <t>Valor por sesion</t>
  </si>
  <si>
    <t>Valor por consulta</t>
  </si>
  <si>
    <t xml:space="preserve">ODONTOLOGICAS </t>
  </si>
  <si>
    <t>Valor por Cirugia</t>
  </si>
  <si>
    <t>Valor por tratamiento</t>
  </si>
  <si>
    <t>Valor por practica</t>
  </si>
  <si>
    <t>Vaor por practica</t>
  </si>
  <si>
    <t xml:space="preserve">TENSION ARTERIAL </t>
  </si>
  <si>
    <t xml:space="preserve">GLUCEMIA </t>
  </si>
  <si>
    <t xml:space="preserve">INYECTABLE </t>
  </si>
  <si>
    <t>NEBULIZACIONES</t>
  </si>
  <si>
    <t>PIERNA ENTERA /</t>
  </si>
  <si>
    <t>DEP. 1/2 PIERNA</t>
  </si>
  <si>
    <t xml:space="preserve">DEP. AXILAS </t>
  </si>
  <si>
    <t>DEP. ROSTRO-CEJAS Y BOZO</t>
  </si>
  <si>
    <t>CAVADO Y TIRA DE COLA</t>
  </si>
  <si>
    <t xml:space="preserve">PELVIS COMPLETA </t>
  </si>
  <si>
    <t>LIMP. CUTIS</t>
  </si>
  <si>
    <t>PODOLOGIA SESION</t>
  </si>
  <si>
    <t xml:space="preserve">PELUQUERIA </t>
  </si>
  <si>
    <t>CORTE</t>
  </si>
  <si>
    <t xml:space="preserve">MASAJES </t>
  </si>
  <si>
    <t>Valor por Turno</t>
  </si>
  <si>
    <t>Valor por turno</t>
  </si>
  <si>
    <t>SOCIO VALOR DIARIO</t>
  </si>
  <si>
    <t>VALOR FIN DE SEMANA</t>
  </si>
  <si>
    <t>Valor pack 3 dias semana</t>
  </si>
  <si>
    <t>VALOR 6 DIAS</t>
  </si>
  <si>
    <t>Valor Limpieza</t>
  </si>
  <si>
    <t>Ecografias</t>
  </si>
  <si>
    <t>COME BEAN</t>
  </si>
  <si>
    <t>$20 anual</t>
  </si>
  <si>
    <t xml:space="preserve"> CADA SESION</t>
  </si>
  <si>
    <t>No afilido Osecac</t>
  </si>
  <si>
    <t>Mon/Op no cos</t>
  </si>
  <si>
    <t>ECOGRAFIAS</t>
  </si>
  <si>
    <t>TRASLUCENCIA NUCAL</t>
  </si>
  <si>
    <t xml:space="preserve">ECODOPPLER  </t>
  </si>
  <si>
    <t>CONSULTA MEDICA A</t>
  </si>
  <si>
    <t>CONSULTA MEDICA B</t>
  </si>
  <si>
    <t>CONSULTA MEDICA C</t>
  </si>
  <si>
    <t>Cuota FLIAR POR INTEGRANTES</t>
  </si>
  <si>
    <t>cuota titular</t>
  </si>
  <si>
    <t>INTEGRA 90</t>
  </si>
  <si>
    <t>INTEGRA 180</t>
  </si>
  <si>
    <t>INTEGRA 360</t>
  </si>
  <si>
    <t>INTEGRA SEC</t>
  </si>
  <si>
    <t>ASISTENCIAL</t>
  </si>
  <si>
    <t xml:space="preserve">DEPOSITO </t>
  </si>
  <si>
    <t>DEPOSITO</t>
  </si>
  <si>
    <t>DEPOSITO ( se devuelve a las 48 hs)</t>
  </si>
  <si>
    <t>PROTESIS ACRILICO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</si>
</sst>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Baskerville Old Face"/>
      <family val="1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0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0" xfId="0" applyBorder="1"/>
    <xf numFmtId="0" fontId="2" fillId="2" borderId="16" xfId="0" applyFont="1" applyFill="1" applyBorder="1"/>
    <xf numFmtId="0" fontId="0" fillId="0" borderId="18" xfId="0" applyBorder="1"/>
    <xf numFmtId="0" fontId="0" fillId="0" borderId="0" xfId="0" applyFill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4" borderId="0" xfId="0" applyFill="1"/>
    <xf numFmtId="0" fontId="0" fillId="4" borderId="7" xfId="0" applyFill="1" applyBorder="1"/>
    <xf numFmtId="0" fontId="14" fillId="0" borderId="18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8" fillId="0" borderId="18" xfId="0" applyFont="1" applyFill="1" applyBorder="1" applyAlignment="1">
      <alignment vertical="top" wrapText="1"/>
    </xf>
    <xf numFmtId="0" fontId="8" fillId="0" borderId="9" xfId="0" applyFont="1" applyFill="1" applyBorder="1" applyAlignment="1">
      <alignment vertical="top" wrapText="1"/>
    </xf>
    <xf numFmtId="0" fontId="8" fillId="0" borderId="8" xfId="0" applyFont="1" applyFill="1" applyBorder="1" applyAlignment="1">
      <alignment vertical="top" wrapText="1"/>
    </xf>
    <xf numFmtId="0" fontId="3" fillId="0" borderId="1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3" fillId="0" borderId="17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3" fillId="0" borderId="13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0" fillId="0" borderId="13" xfId="0" applyFill="1" applyBorder="1"/>
    <xf numFmtId="164" fontId="0" fillId="0" borderId="10" xfId="0" applyNumberFormat="1" applyBorder="1" applyAlignment="1">
      <alignment horizontal="left"/>
    </xf>
    <xf numFmtId="0" fontId="0" fillId="0" borderId="13" xfId="0" applyBorder="1"/>
    <xf numFmtId="0" fontId="2" fillId="9" borderId="21" xfId="0" applyFont="1" applyFill="1" applyBorder="1" applyAlignment="1">
      <alignment horizontal="center"/>
    </xf>
    <xf numFmtId="0" fontId="0" fillId="0" borderId="11" xfId="0" applyBorder="1"/>
    <xf numFmtId="0" fontId="0" fillId="0" borderId="6" xfId="0" applyFill="1" applyBorder="1"/>
    <xf numFmtId="0" fontId="0" fillId="0" borderId="8" xfId="0" applyFill="1" applyBorder="1"/>
    <xf numFmtId="0" fontId="2" fillId="2" borderId="12" xfId="0" applyFont="1" applyFill="1" applyBorder="1" applyAlignment="1">
      <alignment horizontal="center"/>
    </xf>
    <xf numFmtId="0" fontId="0" fillId="6" borderId="13" xfId="0" applyFill="1" applyBorder="1"/>
    <xf numFmtId="0" fontId="3" fillId="7" borderId="8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  <xf numFmtId="0" fontId="2" fillId="3" borderId="2" xfId="0" applyFont="1" applyFill="1" applyBorder="1"/>
    <xf numFmtId="0" fontId="0" fillId="0" borderId="19" xfId="0" applyFill="1" applyBorder="1"/>
    <xf numFmtId="0" fontId="0" fillId="0" borderId="17" xfId="0" applyFill="1" applyBorder="1"/>
    <xf numFmtId="0" fontId="0" fillId="5" borderId="10" xfId="0" applyFill="1" applyBorder="1"/>
    <xf numFmtId="0" fontId="3" fillId="7" borderId="11" xfId="0" applyFont="1" applyFill="1" applyBorder="1"/>
    <xf numFmtId="0" fontId="3" fillId="7" borderId="11" xfId="0" applyFont="1" applyFill="1" applyBorder="1" applyAlignment="1"/>
    <xf numFmtId="0" fontId="2" fillId="4" borderId="10" xfId="0" applyFont="1" applyFill="1" applyBorder="1" applyAlignment="1">
      <alignment horizontal="center"/>
    </xf>
    <xf numFmtId="0" fontId="3" fillId="4" borderId="0" xfId="0" applyFont="1" applyFill="1" applyBorder="1"/>
    <xf numFmtId="0" fontId="2" fillId="8" borderId="11" xfId="0" applyFont="1" applyFill="1" applyBorder="1"/>
    <xf numFmtId="0" fontId="3" fillId="0" borderId="16" xfId="0" applyFont="1" applyFill="1" applyBorder="1"/>
    <xf numFmtId="0" fontId="3" fillId="0" borderId="17" xfId="0" applyFont="1" applyFill="1" applyBorder="1"/>
    <xf numFmtId="0" fontId="7" fillId="4" borderId="1" xfId="0" applyFont="1" applyFill="1" applyBorder="1" applyAlignment="1">
      <alignment horizontal="left"/>
    </xf>
    <xf numFmtId="0" fontId="8" fillId="0" borderId="7" xfId="0" applyFont="1" applyFill="1" applyBorder="1" applyAlignment="1">
      <alignment vertical="top" wrapText="1"/>
    </xf>
    <xf numFmtId="0" fontId="13" fillId="4" borderId="0" xfId="0" applyFont="1" applyFill="1" applyBorder="1" applyAlignment="1">
      <alignment horizontal="center" vertical="top" wrapText="1"/>
    </xf>
    <xf numFmtId="0" fontId="15" fillId="4" borderId="0" xfId="0" applyFont="1" applyFill="1" applyBorder="1" applyAlignment="1">
      <alignment horizontal="center" vertical="top" wrapText="1"/>
    </xf>
    <xf numFmtId="0" fontId="6" fillId="4" borderId="0" xfId="0" applyFont="1" applyFill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9" fillId="5" borderId="22" xfId="0" applyFont="1" applyFill="1" applyBorder="1"/>
    <xf numFmtId="0" fontId="9" fillId="5" borderId="20" xfId="0" applyFont="1" applyFill="1" applyBorder="1"/>
    <xf numFmtId="0" fontId="0" fillId="0" borderId="7" xfId="0" applyBorder="1" applyAlignment="1">
      <alignment horizontal="center"/>
    </xf>
    <xf numFmtId="0" fontId="9" fillId="5" borderId="5" xfId="0" applyFont="1" applyFill="1" applyBorder="1"/>
    <xf numFmtId="0" fontId="16" fillId="10" borderId="0" xfId="0" applyFont="1" applyFill="1" applyBorder="1" applyAlignment="1">
      <alignment horizontal="left"/>
    </xf>
    <xf numFmtId="0" fontId="0" fillId="0" borderId="7" xfId="0" applyBorder="1" applyAlignment="1"/>
    <xf numFmtId="0" fontId="0" fillId="0" borderId="14" xfId="0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9" fillId="5" borderId="24" xfId="0" applyFont="1" applyFill="1" applyBorder="1"/>
    <xf numFmtId="0" fontId="0" fillId="0" borderId="15" xfId="0" applyBorder="1"/>
    <xf numFmtId="0" fontId="2" fillId="11" borderId="16" xfId="0" applyFont="1" applyFill="1" applyBorder="1" applyAlignment="1">
      <alignment horizontal="center"/>
    </xf>
    <xf numFmtId="0" fontId="0" fillId="11" borderId="7" xfId="0" applyFill="1" applyBorder="1"/>
    <xf numFmtId="0" fontId="0" fillId="0" borderId="7" xfId="0" applyFill="1" applyBorder="1"/>
    <xf numFmtId="0" fontId="0" fillId="7" borderId="7" xfId="0" applyFill="1" applyBorder="1"/>
    <xf numFmtId="0" fontId="0" fillId="12" borderId="7" xfId="0" applyFill="1" applyBorder="1"/>
    <xf numFmtId="0" fontId="0" fillId="13" borderId="7" xfId="0" applyFill="1" applyBorder="1"/>
    <xf numFmtId="0" fontId="0" fillId="14" borderId="7" xfId="0" applyFill="1" applyBorder="1"/>
    <xf numFmtId="0" fontId="0" fillId="0" borderId="26" xfId="0" applyFill="1" applyBorder="1"/>
    <xf numFmtId="0" fontId="0" fillId="0" borderId="27" xfId="0" applyBorder="1"/>
    <xf numFmtId="1" fontId="0" fillId="0" borderId="7" xfId="0" applyNumberFormat="1" applyBorder="1"/>
    <xf numFmtId="0" fontId="0" fillId="15" borderId="7" xfId="0" applyFill="1" applyBorder="1"/>
    <xf numFmtId="0" fontId="0" fillId="16" borderId="7" xfId="0" applyFill="1" applyBorder="1"/>
    <xf numFmtId="1" fontId="0" fillId="14" borderId="7" xfId="0" applyNumberFormat="1" applyFill="1" applyBorder="1"/>
    <xf numFmtId="1" fontId="0" fillId="16" borderId="7" xfId="0" applyNumberFormat="1" applyFill="1" applyBorder="1"/>
    <xf numFmtId="0" fontId="17" fillId="0" borderId="7" xfId="0" applyFont="1" applyBorder="1"/>
    <xf numFmtId="0" fontId="0" fillId="14" borderId="25" xfId="0" applyFill="1" applyBorder="1"/>
    <xf numFmtId="0" fontId="9" fillId="0" borderId="7" xfId="0" applyFont="1" applyFill="1" applyBorder="1"/>
    <xf numFmtId="0" fontId="0" fillId="4" borderId="27" xfId="0" applyFill="1" applyBorder="1"/>
    <xf numFmtId="0" fontId="9" fillId="12" borderId="7" xfId="0" applyFont="1" applyFill="1" applyBorder="1"/>
    <xf numFmtId="0" fontId="9" fillId="4" borderId="4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17" fontId="10" fillId="4" borderId="12" xfId="0" applyNumberFormat="1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</cellXfs>
  <cellStyles count="4">
    <cellStyle name="Moneda 2" xfId="1"/>
    <cellStyle name="Moneda 2 2" xfId="3"/>
    <cellStyle name="Moned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163"/>
  <sheetViews>
    <sheetView tabSelected="1" topLeftCell="A143" zoomScale="90" zoomScaleNormal="90" workbookViewId="0">
      <selection activeCell="G164" sqref="G164"/>
    </sheetView>
  </sheetViews>
  <sheetFormatPr baseColWidth="10" defaultRowHeight="15" x14ac:dyDescent="0.25"/>
  <cols>
    <col min="1" max="1" width="56.28515625" bestFit="1" customWidth="1"/>
    <col min="2" max="2" width="13.42578125" customWidth="1"/>
    <col min="3" max="4" width="7.7109375" bestFit="1" customWidth="1"/>
    <col min="5" max="5" width="10.28515625" bestFit="1" customWidth="1"/>
    <col min="6" max="9" width="13.42578125" customWidth="1"/>
    <col min="10" max="10" width="18" hidden="1" customWidth="1"/>
    <col min="11" max="11" width="16.42578125" hidden="1" customWidth="1"/>
    <col min="12" max="12" width="11.42578125" hidden="1" customWidth="1"/>
    <col min="13" max="13" width="11.42578125" customWidth="1"/>
  </cols>
  <sheetData>
    <row r="1" spans="1:11" ht="19.5" thickBot="1" x14ac:dyDescent="0.35">
      <c r="B1" s="98">
        <v>46174</v>
      </c>
      <c r="C1" s="98"/>
      <c r="D1" s="98"/>
      <c r="E1" s="99"/>
      <c r="F1" s="99"/>
      <c r="G1" s="99"/>
      <c r="H1" s="99"/>
    </row>
    <row r="2" spans="1:11" ht="16.5" thickBot="1" x14ac:dyDescent="0.3">
      <c r="A2" s="21" t="s">
        <v>105</v>
      </c>
      <c r="B2" s="93" t="s">
        <v>151</v>
      </c>
      <c r="C2" s="94"/>
      <c r="D2" s="94"/>
      <c r="E2" s="95"/>
      <c r="F2" s="96" t="s">
        <v>152</v>
      </c>
      <c r="G2" s="96" t="s">
        <v>153</v>
      </c>
      <c r="H2" s="97" t="s">
        <v>154</v>
      </c>
      <c r="I2" s="97" t="s">
        <v>155</v>
      </c>
    </row>
    <row r="3" spans="1:11" x14ac:dyDescent="0.25">
      <c r="A3" s="8" t="s">
        <v>50</v>
      </c>
      <c r="B3" s="11"/>
      <c r="C3" s="11"/>
      <c r="D3" s="11"/>
      <c r="E3" s="11"/>
      <c r="F3" s="11">
        <v>5400</v>
      </c>
      <c r="G3" s="11">
        <v>5400</v>
      </c>
      <c r="H3" s="11">
        <v>4250</v>
      </c>
      <c r="I3" s="11">
        <v>5400</v>
      </c>
    </row>
    <row r="4" spans="1:11" x14ac:dyDescent="0.25">
      <c r="A4" s="9" t="s">
        <v>51</v>
      </c>
      <c r="B4" s="11"/>
      <c r="C4" s="11"/>
      <c r="D4" s="11"/>
      <c r="E4" s="11"/>
      <c r="F4" s="11"/>
      <c r="G4" s="11"/>
      <c r="H4" s="11"/>
      <c r="I4" s="11">
        <v>10800</v>
      </c>
    </row>
    <row r="5" spans="1:11" x14ac:dyDescent="0.25">
      <c r="A5" s="9" t="s">
        <v>150</v>
      </c>
      <c r="B5" s="11"/>
      <c r="C5" s="11"/>
      <c r="D5" s="11"/>
      <c r="E5" s="11"/>
      <c r="F5" s="11">
        <v>15000</v>
      </c>
      <c r="G5" s="11">
        <v>30000</v>
      </c>
      <c r="H5" s="11"/>
      <c r="I5" s="64" t="s">
        <v>139</v>
      </c>
    </row>
    <row r="6" spans="1:11" ht="15.75" thickBot="1" x14ac:dyDescent="0.3">
      <c r="A6" s="9" t="s">
        <v>149</v>
      </c>
      <c r="B6" s="11"/>
      <c r="C6" s="11"/>
      <c r="D6" s="11"/>
      <c r="E6" s="11"/>
      <c r="F6" s="78">
        <v>7500</v>
      </c>
      <c r="G6" s="78">
        <v>15000</v>
      </c>
      <c r="H6" s="11"/>
      <c r="I6" s="11"/>
    </row>
    <row r="7" spans="1:11" ht="16.5" thickBot="1" x14ac:dyDescent="0.3">
      <c r="A7" s="21" t="s">
        <v>106</v>
      </c>
      <c r="B7" s="93" t="s">
        <v>151</v>
      </c>
      <c r="C7" s="94"/>
      <c r="D7" s="94"/>
      <c r="E7" s="95"/>
      <c r="F7" s="96" t="s">
        <v>152</v>
      </c>
      <c r="G7" s="96" t="s">
        <v>153</v>
      </c>
      <c r="H7" s="97" t="s">
        <v>154</v>
      </c>
      <c r="I7" s="97" t="s">
        <v>155</v>
      </c>
      <c r="J7" s="65" t="s">
        <v>141</v>
      </c>
      <c r="K7" s="65" t="s">
        <v>142</v>
      </c>
    </row>
    <row r="8" spans="1:11" x14ac:dyDescent="0.25">
      <c r="A8" s="22" t="s">
        <v>107</v>
      </c>
      <c r="B8" s="67"/>
      <c r="C8" s="67"/>
      <c r="D8" s="67"/>
      <c r="E8" s="67"/>
      <c r="F8" s="67"/>
      <c r="G8" s="67"/>
      <c r="H8" s="67"/>
      <c r="I8" s="67"/>
      <c r="J8" s="11">
        <v>4600</v>
      </c>
      <c r="K8" s="11">
        <v>4600</v>
      </c>
    </row>
    <row r="9" spans="1:11" ht="15.75" thickBot="1" x14ac:dyDescent="0.3">
      <c r="A9" s="23" t="s">
        <v>45</v>
      </c>
      <c r="B9" s="11"/>
      <c r="C9" s="11"/>
      <c r="D9" s="11"/>
      <c r="E9" s="11"/>
      <c r="F9" s="11"/>
      <c r="G9" s="78">
        <v>6000</v>
      </c>
      <c r="H9" s="11"/>
      <c r="I9" s="11"/>
      <c r="J9" s="11"/>
      <c r="K9" s="11"/>
    </row>
    <row r="10" spans="1:11" x14ac:dyDescent="0.25">
      <c r="A10" s="20" t="s">
        <v>146</v>
      </c>
      <c r="B10" s="11"/>
      <c r="C10" s="11"/>
      <c r="D10" s="11"/>
      <c r="E10" s="11"/>
      <c r="F10" s="11"/>
      <c r="G10" s="78">
        <v>15000</v>
      </c>
      <c r="H10" s="11"/>
      <c r="I10" s="11"/>
      <c r="J10" s="11"/>
      <c r="K10" s="11"/>
    </row>
    <row r="11" spans="1:11" x14ac:dyDescent="0.25">
      <c r="A11" s="24" t="s">
        <v>46</v>
      </c>
      <c r="B11" s="11"/>
      <c r="C11" s="11"/>
      <c r="D11" s="11"/>
      <c r="E11" s="11"/>
      <c r="F11" s="11"/>
      <c r="G11" s="78">
        <v>12000</v>
      </c>
      <c r="H11" s="11"/>
      <c r="I11" s="11"/>
      <c r="J11" s="11"/>
      <c r="K11" s="11"/>
    </row>
    <row r="12" spans="1:11" x14ac:dyDescent="0.25">
      <c r="A12" s="20" t="s">
        <v>147</v>
      </c>
      <c r="B12" s="11"/>
      <c r="C12" s="11"/>
      <c r="D12" s="11"/>
      <c r="E12" s="11"/>
      <c r="F12" s="11"/>
      <c r="G12" s="76">
        <v>18000</v>
      </c>
      <c r="H12" s="11"/>
      <c r="I12" s="11"/>
      <c r="J12" s="11"/>
      <c r="K12" s="11"/>
    </row>
    <row r="13" spans="1:11" ht="15.75" thickBot="1" x14ac:dyDescent="0.3">
      <c r="A13" s="20" t="s">
        <v>148</v>
      </c>
      <c r="B13" s="11"/>
      <c r="C13" s="11"/>
      <c r="D13" s="11"/>
      <c r="E13" s="11"/>
      <c r="F13" s="11"/>
      <c r="G13" s="76">
        <v>30000</v>
      </c>
      <c r="H13" s="11"/>
      <c r="I13" s="11"/>
      <c r="J13" s="11"/>
      <c r="K13" s="11"/>
    </row>
    <row r="14" spans="1:11" ht="15.75" customHeight="1" thickBot="1" x14ac:dyDescent="0.3">
      <c r="A14" s="1" t="s">
        <v>16</v>
      </c>
      <c r="B14" s="93" t="s">
        <v>151</v>
      </c>
      <c r="C14" s="94"/>
      <c r="D14" s="94"/>
      <c r="E14" s="95"/>
      <c r="F14" s="96" t="s">
        <v>152</v>
      </c>
      <c r="G14" s="96" t="s">
        <v>153</v>
      </c>
      <c r="H14" s="97" t="s">
        <v>154</v>
      </c>
      <c r="I14" s="97" t="s">
        <v>155</v>
      </c>
      <c r="J14" s="72" t="s">
        <v>141</v>
      </c>
      <c r="K14" s="72" t="s">
        <v>142</v>
      </c>
    </row>
    <row r="15" spans="1:11" x14ac:dyDescent="0.25">
      <c r="A15" s="25" t="s">
        <v>17</v>
      </c>
      <c r="B15" s="11">
        <v>88500</v>
      </c>
      <c r="C15" s="11"/>
      <c r="D15" s="11">
        <v>44800</v>
      </c>
      <c r="E15" s="11">
        <v>44800</v>
      </c>
      <c r="F15" s="78">
        <f>+B15*0.7</f>
        <v>61949.999999999993</v>
      </c>
      <c r="G15" s="78">
        <f>+B15*0.6</f>
        <v>53100</v>
      </c>
      <c r="H15" s="11">
        <v>14750</v>
      </c>
      <c r="I15" s="11">
        <v>0</v>
      </c>
      <c r="J15" s="11">
        <v>29500</v>
      </c>
      <c r="K15" s="11">
        <v>88500</v>
      </c>
    </row>
    <row r="16" spans="1:11" x14ac:dyDescent="0.25">
      <c r="A16" s="26" t="s">
        <v>18</v>
      </c>
      <c r="B16" s="11">
        <v>177000</v>
      </c>
      <c r="C16" s="11"/>
      <c r="D16" s="11">
        <v>88500</v>
      </c>
      <c r="E16" s="11">
        <v>88500</v>
      </c>
      <c r="F16" s="78">
        <f>+B16*0.7</f>
        <v>123899.99999999999</v>
      </c>
      <c r="G16" s="78">
        <f>+B16*0.6</f>
        <v>106200</v>
      </c>
      <c r="H16" s="11">
        <v>29500</v>
      </c>
      <c r="I16" s="11">
        <v>0</v>
      </c>
      <c r="J16" s="11">
        <v>59000</v>
      </c>
      <c r="K16" s="11">
        <v>177000</v>
      </c>
    </row>
    <row r="17" spans="1:11" ht="15.75" thickBot="1" x14ac:dyDescent="0.3">
      <c r="A17" s="66" t="s">
        <v>140</v>
      </c>
      <c r="B17" s="11"/>
      <c r="C17" s="11"/>
      <c r="D17" s="11"/>
      <c r="E17" s="11">
        <v>16000</v>
      </c>
      <c r="F17" s="11"/>
      <c r="G17" s="11"/>
      <c r="H17" s="11"/>
      <c r="I17" s="11"/>
      <c r="J17" s="11"/>
      <c r="K17" s="11"/>
    </row>
    <row r="18" spans="1:11" ht="16.5" thickBot="1" x14ac:dyDescent="0.3">
      <c r="A18" s="3" t="s">
        <v>23</v>
      </c>
      <c r="B18" s="93" t="s">
        <v>151</v>
      </c>
      <c r="C18" s="94"/>
      <c r="D18" s="94"/>
      <c r="E18" s="95"/>
      <c r="F18" s="96" t="s">
        <v>152</v>
      </c>
      <c r="G18" s="96" t="s">
        <v>153</v>
      </c>
      <c r="H18" s="97" t="s">
        <v>154</v>
      </c>
      <c r="I18" s="97" t="s">
        <v>155</v>
      </c>
    </row>
    <row r="19" spans="1:11" ht="15.75" thickBot="1" x14ac:dyDescent="0.3">
      <c r="A19" s="24" t="s">
        <v>108</v>
      </c>
      <c r="B19" s="11">
        <v>20000</v>
      </c>
      <c r="C19" s="11"/>
      <c r="D19" s="11"/>
      <c r="E19" s="11">
        <v>8000</v>
      </c>
      <c r="F19" s="79">
        <f>+B19*0.7</f>
        <v>14000</v>
      </c>
      <c r="G19" s="78">
        <f>+B19*0.6</f>
        <v>12000</v>
      </c>
      <c r="H19" s="11"/>
      <c r="I19" s="11"/>
    </row>
    <row r="20" spans="1:11" ht="15.75" customHeight="1" x14ac:dyDescent="0.25">
      <c r="A20" s="27" t="s">
        <v>19</v>
      </c>
      <c r="B20" s="93" t="s">
        <v>151</v>
      </c>
      <c r="C20" s="94"/>
      <c r="D20" s="94"/>
      <c r="E20" s="95"/>
      <c r="F20" s="96" t="s">
        <v>152</v>
      </c>
      <c r="G20" s="96" t="s">
        <v>153</v>
      </c>
      <c r="H20" s="97" t="s">
        <v>154</v>
      </c>
      <c r="I20" s="97" t="s">
        <v>155</v>
      </c>
      <c r="J20" s="65" t="s">
        <v>141</v>
      </c>
      <c r="K20" s="65" t="s">
        <v>142</v>
      </c>
    </row>
    <row r="21" spans="1:11" ht="15.75" thickBot="1" x14ac:dyDescent="0.3">
      <c r="A21" s="28" t="s">
        <v>109</v>
      </c>
      <c r="B21" s="11">
        <v>35000</v>
      </c>
      <c r="C21" s="11"/>
      <c r="D21" s="11">
        <v>19400</v>
      </c>
      <c r="E21" s="11">
        <v>19400</v>
      </c>
      <c r="F21" s="79">
        <f>+B21*0.7</f>
        <v>24500</v>
      </c>
      <c r="G21" s="78">
        <f>+B21*0.6</f>
        <v>21000</v>
      </c>
      <c r="H21" s="11">
        <v>6100</v>
      </c>
      <c r="I21" s="11">
        <v>0</v>
      </c>
      <c r="J21" s="11">
        <v>35000</v>
      </c>
      <c r="K21" s="11">
        <v>35000</v>
      </c>
    </row>
    <row r="22" spans="1:11" ht="15.75" customHeight="1" thickBot="1" x14ac:dyDescent="0.3">
      <c r="A22" s="3" t="s">
        <v>30</v>
      </c>
      <c r="B22" s="93" t="s">
        <v>151</v>
      </c>
      <c r="C22" s="94"/>
      <c r="D22" s="94"/>
      <c r="E22" s="95"/>
      <c r="F22" s="96" t="s">
        <v>152</v>
      </c>
      <c r="G22" s="96" t="s">
        <v>153</v>
      </c>
      <c r="H22" s="97" t="s">
        <v>154</v>
      </c>
      <c r="I22" s="97" t="s">
        <v>155</v>
      </c>
      <c r="J22" s="65" t="s">
        <v>141</v>
      </c>
      <c r="K22" s="65" t="s">
        <v>142</v>
      </c>
    </row>
    <row r="23" spans="1:11" ht="15.75" thickBot="1" x14ac:dyDescent="0.3">
      <c r="A23" s="24" t="s">
        <v>108</v>
      </c>
      <c r="B23" s="11">
        <v>20000</v>
      </c>
      <c r="C23" s="11"/>
      <c r="D23" s="11">
        <v>8200</v>
      </c>
      <c r="E23" s="11">
        <v>10400</v>
      </c>
      <c r="F23" s="79">
        <f>+B23*0.7</f>
        <v>14000</v>
      </c>
      <c r="G23" s="78">
        <f>+B23*0.6</f>
        <v>12000</v>
      </c>
      <c r="H23" s="11">
        <v>4200</v>
      </c>
      <c r="I23" s="11">
        <v>0</v>
      </c>
      <c r="J23" s="11">
        <v>10400</v>
      </c>
      <c r="K23" s="11">
        <v>14600</v>
      </c>
    </row>
    <row r="24" spans="1:11" ht="16.5" thickBot="1" x14ac:dyDescent="0.3">
      <c r="A24" s="3" t="s">
        <v>110</v>
      </c>
      <c r="B24" s="93" t="s">
        <v>151</v>
      </c>
      <c r="C24" s="94"/>
      <c r="D24" s="94"/>
      <c r="E24" s="95"/>
      <c r="F24" s="96" t="s">
        <v>152</v>
      </c>
      <c r="G24" s="96" t="s">
        <v>153</v>
      </c>
      <c r="H24" s="97" t="s">
        <v>154</v>
      </c>
      <c r="I24" s="97" t="s">
        <v>155</v>
      </c>
      <c r="J24" s="65" t="s">
        <v>141</v>
      </c>
      <c r="K24" s="65" t="s">
        <v>142</v>
      </c>
    </row>
    <row r="25" spans="1:11" ht="15.75" thickBot="1" x14ac:dyDescent="0.3">
      <c r="A25" s="29" t="s">
        <v>109</v>
      </c>
      <c r="B25" s="11">
        <v>20000</v>
      </c>
      <c r="C25" s="11">
        <v>12600</v>
      </c>
      <c r="D25" s="11">
        <v>8200</v>
      </c>
      <c r="E25" s="11">
        <v>12600</v>
      </c>
      <c r="F25" s="79">
        <f>+B25*0.7</f>
        <v>14000</v>
      </c>
      <c r="G25" s="78">
        <f>+B25*0.6</f>
        <v>12000</v>
      </c>
      <c r="H25" s="11">
        <v>5400</v>
      </c>
      <c r="I25" s="11">
        <v>0</v>
      </c>
      <c r="J25" s="11">
        <v>17400</v>
      </c>
      <c r="K25" s="11">
        <v>17400</v>
      </c>
    </row>
    <row r="26" spans="1:11" ht="15.75" customHeight="1" thickBot="1" x14ac:dyDescent="0.3">
      <c r="A26" s="3" t="s">
        <v>103</v>
      </c>
      <c r="B26" s="93" t="s">
        <v>151</v>
      </c>
      <c r="C26" s="94"/>
      <c r="D26" s="94"/>
      <c r="E26" s="95"/>
      <c r="F26" s="96" t="s">
        <v>152</v>
      </c>
      <c r="G26" s="96" t="s">
        <v>153</v>
      </c>
      <c r="H26" s="97" t="s">
        <v>154</v>
      </c>
      <c r="I26" s="97" t="s">
        <v>155</v>
      </c>
      <c r="J26" s="65" t="s">
        <v>141</v>
      </c>
      <c r="K26" s="65" t="s">
        <v>142</v>
      </c>
    </row>
    <row r="27" spans="1:11" ht="15.75" thickBot="1" x14ac:dyDescent="0.3">
      <c r="A27" s="30" t="s">
        <v>111</v>
      </c>
      <c r="B27" s="11">
        <v>228334</v>
      </c>
      <c r="C27" s="11">
        <v>149000</v>
      </c>
      <c r="D27" s="11">
        <v>137000</v>
      </c>
      <c r="E27" s="11">
        <v>149000</v>
      </c>
      <c r="F27" s="79">
        <f>+B27*0.7</f>
        <v>159833.79999999999</v>
      </c>
      <c r="G27" s="78">
        <f>+B27*0.6</f>
        <v>137000.4</v>
      </c>
      <c r="H27" s="11">
        <v>74000</v>
      </c>
      <c r="I27" s="11">
        <v>74000</v>
      </c>
      <c r="J27" s="11">
        <v>199000</v>
      </c>
      <c r="K27" s="11">
        <v>199000</v>
      </c>
    </row>
    <row r="28" spans="1:11" ht="15.75" customHeight="1" thickBot="1" x14ac:dyDescent="0.3">
      <c r="A28" s="1" t="s">
        <v>47</v>
      </c>
      <c r="B28" s="93" t="s">
        <v>151</v>
      </c>
      <c r="C28" s="94"/>
      <c r="D28" s="94"/>
      <c r="E28" s="95"/>
      <c r="F28" s="96" t="s">
        <v>152</v>
      </c>
      <c r="G28" s="96" t="s">
        <v>153</v>
      </c>
      <c r="H28" s="97" t="s">
        <v>154</v>
      </c>
      <c r="I28" s="97" t="s">
        <v>155</v>
      </c>
      <c r="J28" s="65" t="s">
        <v>141</v>
      </c>
      <c r="K28" s="65" t="s">
        <v>142</v>
      </c>
    </row>
    <row r="29" spans="1:11" ht="15.75" thickBot="1" x14ac:dyDescent="0.3">
      <c r="A29" s="31" t="s">
        <v>112</v>
      </c>
      <c r="B29" s="11">
        <v>72000</v>
      </c>
      <c r="C29" s="11">
        <v>36700</v>
      </c>
      <c r="D29" s="11">
        <v>31000</v>
      </c>
      <c r="E29" s="11">
        <v>36700</v>
      </c>
      <c r="F29" s="79">
        <f>+B29*0.7</f>
        <v>50400</v>
      </c>
      <c r="G29" s="78">
        <f>+B29*0.6</f>
        <v>43200</v>
      </c>
      <c r="H29" s="11">
        <v>16800</v>
      </c>
      <c r="I29" s="11">
        <v>16800</v>
      </c>
      <c r="J29" s="11">
        <v>43400</v>
      </c>
      <c r="K29" s="11">
        <v>43400</v>
      </c>
    </row>
    <row r="30" spans="1:11" ht="18" customHeight="1" thickBot="1" x14ac:dyDescent="0.3">
      <c r="A30" s="1" t="s">
        <v>1</v>
      </c>
      <c r="B30" s="93" t="s">
        <v>151</v>
      </c>
      <c r="C30" s="94"/>
      <c r="D30" s="94"/>
      <c r="E30" s="95"/>
      <c r="F30" s="96" t="s">
        <v>152</v>
      </c>
      <c r="G30" s="96" t="s">
        <v>153</v>
      </c>
      <c r="H30" s="97" t="s">
        <v>154</v>
      </c>
      <c r="I30" s="97" t="s">
        <v>155</v>
      </c>
      <c r="J30" s="65" t="s">
        <v>141</v>
      </c>
      <c r="K30" s="65" t="s">
        <v>142</v>
      </c>
    </row>
    <row r="31" spans="1:11" ht="15" customHeight="1" thickBot="1" x14ac:dyDescent="0.3">
      <c r="A31" s="32" t="s">
        <v>113</v>
      </c>
      <c r="B31" s="11">
        <v>33000</v>
      </c>
      <c r="C31" s="11">
        <v>16600</v>
      </c>
      <c r="D31" s="11">
        <v>16600</v>
      </c>
      <c r="E31" s="11">
        <v>16600</v>
      </c>
      <c r="F31" s="79">
        <f>+B31*0.7</f>
        <v>23100</v>
      </c>
      <c r="G31" s="78">
        <f>+B31*0.6</f>
        <v>19800</v>
      </c>
      <c r="H31" s="11">
        <v>10800</v>
      </c>
      <c r="I31" s="11">
        <v>10800</v>
      </c>
      <c r="J31" s="11">
        <v>20300</v>
      </c>
      <c r="K31" s="11">
        <v>20300</v>
      </c>
    </row>
    <row r="32" spans="1:11" ht="16.5" thickBot="1" x14ac:dyDescent="0.3">
      <c r="A32" s="1" t="s">
        <v>42</v>
      </c>
      <c r="B32" s="93" t="s">
        <v>151</v>
      </c>
      <c r="C32" s="94"/>
      <c r="D32" s="94"/>
      <c r="E32" s="95"/>
      <c r="F32" s="96" t="s">
        <v>152</v>
      </c>
      <c r="G32" s="96" t="s">
        <v>153</v>
      </c>
      <c r="H32" s="97" t="s">
        <v>154</v>
      </c>
      <c r="I32" s="97" t="s">
        <v>155</v>
      </c>
      <c r="J32" s="65" t="s">
        <v>141</v>
      </c>
      <c r="K32" s="65" t="s">
        <v>142</v>
      </c>
    </row>
    <row r="33" spans="1:11" ht="15.75" thickBot="1" x14ac:dyDescent="0.3">
      <c r="A33" s="32" t="s">
        <v>113</v>
      </c>
      <c r="B33" s="11">
        <v>24600</v>
      </c>
      <c r="C33" s="11">
        <v>12500</v>
      </c>
      <c r="D33" s="11">
        <v>12500</v>
      </c>
      <c r="E33" s="11">
        <v>12500</v>
      </c>
      <c r="F33" s="79">
        <f>+B33*0.7</f>
        <v>17220</v>
      </c>
      <c r="G33" s="78">
        <f>+B33*0.6</f>
        <v>14760</v>
      </c>
      <c r="H33" s="11">
        <v>6300</v>
      </c>
      <c r="I33" s="11">
        <v>6300</v>
      </c>
      <c r="J33" s="11">
        <v>15200</v>
      </c>
      <c r="K33" s="11">
        <v>15200</v>
      </c>
    </row>
    <row r="34" spans="1:11" ht="15" customHeight="1" thickBot="1" x14ac:dyDescent="0.3">
      <c r="A34" s="1" t="s">
        <v>22</v>
      </c>
      <c r="B34" s="93" t="s">
        <v>151</v>
      </c>
      <c r="C34" s="94"/>
      <c r="D34" s="94"/>
      <c r="E34" s="95"/>
      <c r="F34" s="96" t="s">
        <v>152</v>
      </c>
      <c r="G34" s="96" t="s">
        <v>153</v>
      </c>
      <c r="H34" s="97" t="s">
        <v>154</v>
      </c>
      <c r="I34" s="97" t="s">
        <v>155</v>
      </c>
      <c r="J34" s="65" t="s">
        <v>141</v>
      </c>
      <c r="K34" s="65" t="s">
        <v>142</v>
      </c>
    </row>
    <row r="35" spans="1:11" ht="15" customHeight="1" thickBot="1" x14ac:dyDescent="0.3">
      <c r="A35" s="32" t="s">
        <v>113</v>
      </c>
      <c r="B35" s="11">
        <v>24600</v>
      </c>
      <c r="C35" s="11">
        <v>12500</v>
      </c>
      <c r="D35" s="11">
        <v>12500</v>
      </c>
      <c r="E35" s="11">
        <v>12500</v>
      </c>
      <c r="F35" s="79">
        <f>+B35*0.7</f>
        <v>17220</v>
      </c>
      <c r="G35" s="78">
        <f>+B35*0.6</f>
        <v>14760</v>
      </c>
      <c r="H35" s="11">
        <v>6300</v>
      </c>
      <c r="I35" s="11">
        <v>6300</v>
      </c>
      <c r="J35" s="11">
        <v>15200</v>
      </c>
      <c r="K35" s="11">
        <v>15200</v>
      </c>
    </row>
    <row r="36" spans="1:11" ht="15.75" customHeight="1" thickBot="1" x14ac:dyDescent="0.3">
      <c r="A36" s="1" t="s">
        <v>20</v>
      </c>
      <c r="B36" s="93" t="s">
        <v>151</v>
      </c>
      <c r="C36" s="94"/>
      <c r="D36" s="94"/>
      <c r="E36" s="95"/>
      <c r="F36" s="96" t="s">
        <v>152</v>
      </c>
      <c r="G36" s="96" t="s">
        <v>153</v>
      </c>
      <c r="H36" s="97" t="s">
        <v>154</v>
      </c>
      <c r="I36" s="97" t="s">
        <v>155</v>
      </c>
      <c r="J36" s="65" t="s">
        <v>141</v>
      </c>
      <c r="K36" s="65" t="s">
        <v>142</v>
      </c>
    </row>
    <row r="37" spans="1:11" ht="15.75" thickBot="1" x14ac:dyDescent="0.3">
      <c r="A37" s="32" t="s">
        <v>113</v>
      </c>
      <c r="B37" s="11">
        <v>24600</v>
      </c>
      <c r="C37" s="11">
        <v>12500</v>
      </c>
      <c r="D37" s="11">
        <v>12500</v>
      </c>
      <c r="E37" s="11">
        <v>12500</v>
      </c>
      <c r="F37" s="79">
        <f>+B37*0.7</f>
        <v>17220</v>
      </c>
      <c r="G37" s="78">
        <f>+B37*0.6</f>
        <v>14760</v>
      </c>
      <c r="H37" s="11">
        <v>6300</v>
      </c>
      <c r="I37" s="11">
        <v>6300</v>
      </c>
      <c r="J37" s="11">
        <v>15200</v>
      </c>
      <c r="K37" s="11">
        <v>15200</v>
      </c>
    </row>
    <row r="38" spans="1:11" ht="16.5" thickBot="1" x14ac:dyDescent="0.3">
      <c r="A38" s="1" t="s">
        <v>21</v>
      </c>
      <c r="B38" s="93" t="s">
        <v>151</v>
      </c>
      <c r="C38" s="94"/>
      <c r="D38" s="94"/>
      <c r="E38" s="95"/>
      <c r="F38" s="96" t="s">
        <v>152</v>
      </c>
      <c r="G38" s="96" t="s">
        <v>153</v>
      </c>
      <c r="H38" s="97" t="s">
        <v>154</v>
      </c>
      <c r="I38" s="97" t="s">
        <v>155</v>
      </c>
      <c r="J38" s="65" t="s">
        <v>141</v>
      </c>
      <c r="K38" s="65" t="s">
        <v>142</v>
      </c>
    </row>
    <row r="39" spans="1:11" ht="15.75" thickBot="1" x14ac:dyDescent="0.3">
      <c r="A39" s="32" t="s">
        <v>114</v>
      </c>
      <c r="B39" s="11">
        <v>24600</v>
      </c>
      <c r="C39" s="11">
        <v>12500</v>
      </c>
      <c r="D39" s="11">
        <v>12500</v>
      </c>
      <c r="E39" s="11">
        <v>12500</v>
      </c>
      <c r="F39" s="79">
        <f>+B39*0.7</f>
        <v>17220</v>
      </c>
      <c r="G39" s="78">
        <f>+B39*0.6</f>
        <v>14760</v>
      </c>
      <c r="H39" s="11">
        <v>6300</v>
      </c>
      <c r="I39" s="11">
        <v>6300</v>
      </c>
      <c r="J39" s="11">
        <v>15200</v>
      </c>
      <c r="K39" s="11">
        <v>15200</v>
      </c>
    </row>
    <row r="40" spans="1:11" ht="15.75" x14ac:dyDescent="0.25">
      <c r="A40" s="33" t="s">
        <v>72</v>
      </c>
      <c r="B40" s="93" t="s">
        <v>151</v>
      </c>
      <c r="C40" s="94"/>
      <c r="D40" s="94"/>
      <c r="E40" s="95"/>
      <c r="F40" s="96" t="s">
        <v>152</v>
      </c>
      <c r="G40" s="96" t="s">
        <v>153</v>
      </c>
      <c r="H40" s="97" t="s">
        <v>154</v>
      </c>
      <c r="I40" s="97" t="s">
        <v>155</v>
      </c>
      <c r="J40" s="65" t="s">
        <v>141</v>
      </c>
      <c r="K40" s="65" t="s">
        <v>142</v>
      </c>
    </row>
    <row r="41" spans="1:11" ht="15.75" thickBot="1" x14ac:dyDescent="0.3">
      <c r="A41" s="34" t="s">
        <v>113</v>
      </c>
      <c r="B41" s="11">
        <v>72000</v>
      </c>
      <c r="C41" s="11">
        <v>36700</v>
      </c>
      <c r="D41" s="11">
        <v>31000</v>
      </c>
      <c r="E41" s="11">
        <v>36700</v>
      </c>
      <c r="F41" s="79">
        <f>+B41*0.7</f>
        <v>50400</v>
      </c>
      <c r="G41" s="78">
        <f>+B41*0.6</f>
        <v>43200</v>
      </c>
      <c r="H41" s="11">
        <v>16800</v>
      </c>
      <c r="I41" s="11">
        <v>16800</v>
      </c>
      <c r="J41" s="11">
        <v>43400</v>
      </c>
      <c r="K41" s="11">
        <v>43400</v>
      </c>
    </row>
    <row r="42" spans="1:11" ht="15.75" customHeight="1" thickBot="1" x14ac:dyDescent="0.3">
      <c r="A42" s="2" t="s">
        <v>2</v>
      </c>
      <c r="B42" s="93" t="s">
        <v>151</v>
      </c>
      <c r="C42" s="94"/>
      <c r="D42" s="94"/>
      <c r="E42" s="95"/>
      <c r="F42" s="96" t="s">
        <v>152</v>
      </c>
      <c r="G42" s="96" t="s">
        <v>153</v>
      </c>
      <c r="H42" s="97" t="s">
        <v>154</v>
      </c>
      <c r="I42" s="97" t="s">
        <v>155</v>
      </c>
      <c r="J42" s="65" t="s">
        <v>141</v>
      </c>
      <c r="K42" s="65" t="s">
        <v>142</v>
      </c>
    </row>
    <row r="43" spans="1:11" x14ac:dyDescent="0.25">
      <c r="A43" s="35" t="s">
        <v>115</v>
      </c>
      <c r="B43" s="11">
        <v>15000</v>
      </c>
      <c r="C43" s="11">
        <v>4200</v>
      </c>
      <c r="D43" s="11">
        <v>0</v>
      </c>
      <c r="E43" s="11">
        <v>4200</v>
      </c>
      <c r="F43" s="79">
        <f>+B43*0.7</f>
        <v>10500</v>
      </c>
      <c r="G43" s="79">
        <f>+B43*0.6</f>
        <v>9000</v>
      </c>
      <c r="H43" s="11">
        <v>0</v>
      </c>
      <c r="I43" s="11">
        <v>0</v>
      </c>
      <c r="J43" s="11">
        <v>5300</v>
      </c>
      <c r="K43" s="11">
        <v>5300</v>
      </c>
    </row>
    <row r="44" spans="1:11" x14ac:dyDescent="0.25">
      <c r="A44" s="36" t="s">
        <v>116</v>
      </c>
      <c r="B44" s="11">
        <v>15000</v>
      </c>
      <c r="C44" s="11">
        <v>4200</v>
      </c>
      <c r="D44" s="11">
        <v>0</v>
      </c>
      <c r="E44" s="11">
        <v>4200</v>
      </c>
      <c r="F44" s="79">
        <f>+B44*0.7</f>
        <v>10500</v>
      </c>
      <c r="G44" s="79">
        <f>+B44*0.6</f>
        <v>9000</v>
      </c>
      <c r="H44" s="11">
        <v>0</v>
      </c>
      <c r="I44" s="11">
        <v>0</v>
      </c>
      <c r="J44" s="11">
        <v>5300</v>
      </c>
      <c r="K44" s="11">
        <v>5300</v>
      </c>
    </row>
    <row r="45" spans="1:11" x14ac:dyDescent="0.25">
      <c r="A45" s="36" t="s">
        <v>117</v>
      </c>
      <c r="B45" s="11">
        <v>15000</v>
      </c>
      <c r="C45" s="11">
        <v>4200</v>
      </c>
      <c r="D45" s="11">
        <v>0</v>
      </c>
      <c r="E45" s="11">
        <v>4200</v>
      </c>
      <c r="F45" s="79">
        <f>+B45*0.7</f>
        <v>10500</v>
      </c>
      <c r="G45" s="79">
        <f>+B45*0.6</f>
        <v>9000</v>
      </c>
      <c r="H45" s="11">
        <v>0</v>
      </c>
      <c r="I45" s="11">
        <v>0</v>
      </c>
      <c r="J45" s="11">
        <v>5300</v>
      </c>
      <c r="K45" s="11">
        <v>5300</v>
      </c>
    </row>
    <row r="46" spans="1:11" ht="15.75" thickBot="1" x14ac:dyDescent="0.3">
      <c r="A46" s="36" t="s">
        <v>118</v>
      </c>
      <c r="B46" s="11">
        <v>15000</v>
      </c>
      <c r="C46" s="11">
        <v>4200</v>
      </c>
      <c r="D46" s="11">
        <v>0</v>
      </c>
      <c r="E46" s="11">
        <v>4200</v>
      </c>
      <c r="F46" s="79">
        <f>+B46*0.7</f>
        <v>10500</v>
      </c>
      <c r="G46" s="79">
        <f>+B46*0.6</f>
        <v>9000</v>
      </c>
      <c r="H46" s="11">
        <v>0</v>
      </c>
      <c r="I46" s="11">
        <v>0</v>
      </c>
      <c r="J46" s="11">
        <v>5300</v>
      </c>
      <c r="K46" s="82">
        <v>5300</v>
      </c>
    </row>
    <row r="47" spans="1:11" ht="15" customHeight="1" thickBot="1" x14ac:dyDescent="0.3">
      <c r="A47" s="37" t="s">
        <v>3</v>
      </c>
      <c r="B47" s="93" t="s">
        <v>151</v>
      </c>
      <c r="C47" s="94"/>
      <c r="D47" s="94"/>
      <c r="E47" s="95"/>
      <c r="F47" s="96" t="s">
        <v>152</v>
      </c>
      <c r="G47" s="96" t="s">
        <v>153</v>
      </c>
      <c r="H47" s="97" t="s">
        <v>154</v>
      </c>
      <c r="I47" s="97" t="s">
        <v>155</v>
      </c>
    </row>
    <row r="48" spans="1:11" ht="15" customHeight="1" x14ac:dyDescent="0.25">
      <c r="A48" s="32" t="s">
        <v>119</v>
      </c>
      <c r="B48" s="76">
        <v>28000</v>
      </c>
      <c r="C48" s="76">
        <v>9500</v>
      </c>
      <c r="D48" s="76">
        <v>9500</v>
      </c>
      <c r="E48" s="76">
        <v>9500</v>
      </c>
      <c r="F48" s="79">
        <f t="shared" ref="F48:F54" si="0">+B48*0.7</f>
        <v>19600</v>
      </c>
      <c r="G48" s="79">
        <f t="shared" ref="G48:G54" si="1">+B48*0.6</f>
        <v>16800</v>
      </c>
      <c r="H48" s="11">
        <v>4100</v>
      </c>
      <c r="I48" s="11">
        <v>4100</v>
      </c>
      <c r="J48" s="81"/>
    </row>
    <row r="49" spans="1:10" x14ac:dyDescent="0.25">
      <c r="A49" s="34" t="s">
        <v>120</v>
      </c>
      <c r="B49" s="76">
        <v>20000</v>
      </c>
      <c r="C49" s="76">
        <v>5900</v>
      </c>
      <c r="D49" s="76">
        <v>5900</v>
      </c>
      <c r="E49" s="76">
        <v>5900</v>
      </c>
      <c r="F49" s="79">
        <f t="shared" si="0"/>
        <v>14000</v>
      </c>
      <c r="G49" s="79">
        <f t="shared" si="1"/>
        <v>12000</v>
      </c>
      <c r="H49" s="11">
        <v>4900</v>
      </c>
      <c r="I49" s="11">
        <v>4900</v>
      </c>
      <c r="J49" s="81"/>
    </row>
    <row r="50" spans="1:10" x14ac:dyDescent="0.25">
      <c r="A50" s="34" t="s">
        <v>121</v>
      </c>
      <c r="B50" s="76">
        <v>18000</v>
      </c>
      <c r="C50" s="76">
        <v>5800</v>
      </c>
      <c r="D50" s="76">
        <v>5800</v>
      </c>
      <c r="E50" s="76">
        <v>5800</v>
      </c>
      <c r="F50" s="79">
        <f t="shared" si="0"/>
        <v>12600</v>
      </c>
      <c r="G50" s="79">
        <f t="shared" si="1"/>
        <v>10800</v>
      </c>
      <c r="H50" s="11">
        <v>3400</v>
      </c>
      <c r="I50" s="11">
        <v>3400</v>
      </c>
    </row>
    <row r="51" spans="1:10" x14ac:dyDescent="0.25">
      <c r="A51" s="34" t="s">
        <v>122</v>
      </c>
      <c r="B51" s="76">
        <v>25000</v>
      </c>
      <c r="C51" s="76">
        <v>5800</v>
      </c>
      <c r="D51" s="76">
        <v>5800</v>
      </c>
      <c r="E51" s="76">
        <v>5800</v>
      </c>
      <c r="F51" s="79">
        <f t="shared" si="0"/>
        <v>17500</v>
      </c>
      <c r="G51" s="79">
        <f t="shared" si="1"/>
        <v>15000</v>
      </c>
      <c r="H51" s="11">
        <v>3400</v>
      </c>
      <c r="I51" s="11">
        <v>3400</v>
      </c>
    </row>
    <row r="52" spans="1:10" x14ac:dyDescent="0.25">
      <c r="A52" s="34" t="s">
        <v>123</v>
      </c>
      <c r="B52" s="76">
        <v>30000</v>
      </c>
      <c r="C52" s="76">
        <v>9500</v>
      </c>
      <c r="D52" s="76">
        <v>9500</v>
      </c>
      <c r="E52" s="76">
        <v>9500</v>
      </c>
      <c r="F52" s="79">
        <f t="shared" si="0"/>
        <v>21000</v>
      </c>
      <c r="G52" s="79">
        <f t="shared" si="1"/>
        <v>18000</v>
      </c>
      <c r="H52" s="11">
        <v>3400</v>
      </c>
      <c r="I52" s="11">
        <v>3400</v>
      </c>
    </row>
    <row r="53" spans="1:10" x14ac:dyDescent="0.25">
      <c r="A53" s="34" t="s">
        <v>124</v>
      </c>
      <c r="B53" s="76">
        <v>25000</v>
      </c>
      <c r="C53" s="76">
        <v>9500</v>
      </c>
      <c r="D53" s="76">
        <v>9500</v>
      </c>
      <c r="E53" s="76">
        <v>9500</v>
      </c>
      <c r="F53" s="79">
        <f t="shared" si="0"/>
        <v>17500</v>
      </c>
      <c r="G53" s="79">
        <f t="shared" si="1"/>
        <v>15000</v>
      </c>
      <c r="H53" s="11">
        <v>3400</v>
      </c>
      <c r="I53" s="11">
        <v>3400</v>
      </c>
    </row>
    <row r="54" spans="1:10" ht="15.75" thickBot="1" x14ac:dyDescent="0.3">
      <c r="A54" s="34" t="s">
        <v>125</v>
      </c>
      <c r="B54" s="76">
        <v>25000</v>
      </c>
      <c r="C54" s="76">
        <v>13800</v>
      </c>
      <c r="D54" s="76">
        <v>13800</v>
      </c>
      <c r="E54" s="76">
        <v>13800</v>
      </c>
      <c r="F54" s="79">
        <f t="shared" si="0"/>
        <v>17500</v>
      </c>
      <c r="G54" s="79">
        <f t="shared" si="1"/>
        <v>15000</v>
      </c>
      <c r="H54" s="11">
        <v>5700</v>
      </c>
      <c r="I54" s="11">
        <v>5700</v>
      </c>
    </row>
    <row r="55" spans="1:10" ht="15.75" customHeight="1" thickBot="1" x14ac:dyDescent="0.3">
      <c r="A55" s="3" t="s">
        <v>31</v>
      </c>
      <c r="B55" s="93" t="s">
        <v>151</v>
      </c>
      <c r="C55" s="94"/>
      <c r="D55" s="94"/>
      <c r="E55" s="95"/>
      <c r="F55" s="96" t="s">
        <v>152</v>
      </c>
      <c r="G55" s="96" t="s">
        <v>153</v>
      </c>
      <c r="H55" s="97" t="s">
        <v>154</v>
      </c>
      <c r="I55" s="97" t="s">
        <v>155</v>
      </c>
    </row>
    <row r="56" spans="1:10" ht="15.75" thickBot="1" x14ac:dyDescent="0.3">
      <c r="A56" s="9" t="s">
        <v>126</v>
      </c>
      <c r="B56" s="76">
        <v>20000</v>
      </c>
      <c r="C56" s="11">
        <v>7800</v>
      </c>
      <c r="D56" s="11">
        <v>7800</v>
      </c>
      <c r="E56" s="11">
        <v>7800</v>
      </c>
      <c r="F56" s="80">
        <f>+B56*0.7</f>
        <v>14000</v>
      </c>
      <c r="G56" s="80">
        <f>+B56*0.6</f>
        <v>12000</v>
      </c>
      <c r="H56" s="11">
        <v>2700</v>
      </c>
      <c r="I56" s="11">
        <v>0</v>
      </c>
    </row>
    <row r="57" spans="1:10" ht="15" customHeight="1" thickBot="1" x14ac:dyDescent="0.3">
      <c r="A57" s="1" t="s">
        <v>127</v>
      </c>
      <c r="B57" s="93" t="s">
        <v>151</v>
      </c>
      <c r="C57" s="94"/>
      <c r="D57" s="94"/>
      <c r="E57" s="95"/>
      <c r="F57" s="96" t="s">
        <v>152</v>
      </c>
      <c r="G57" s="96" t="s">
        <v>153</v>
      </c>
      <c r="H57" s="97" t="s">
        <v>154</v>
      </c>
      <c r="I57" s="97" t="s">
        <v>155</v>
      </c>
    </row>
    <row r="58" spans="1:10" ht="15" customHeight="1" thickBot="1" x14ac:dyDescent="0.3">
      <c r="A58" s="38" t="s">
        <v>128</v>
      </c>
      <c r="B58" s="11">
        <v>12000</v>
      </c>
      <c r="C58" s="11">
        <v>6400</v>
      </c>
      <c r="D58" s="11">
        <v>6400</v>
      </c>
      <c r="E58" s="11">
        <v>6400</v>
      </c>
      <c r="F58" s="80">
        <f>+B58*0.7</f>
        <v>8400</v>
      </c>
      <c r="G58" s="80">
        <f>+B58*0.6</f>
        <v>7200</v>
      </c>
      <c r="H58" s="11">
        <v>3900</v>
      </c>
      <c r="I58" s="11">
        <v>2700</v>
      </c>
    </row>
    <row r="59" spans="1:10" ht="15.75" customHeight="1" thickBot="1" x14ac:dyDescent="0.3">
      <c r="A59" s="3" t="s">
        <v>129</v>
      </c>
      <c r="B59" s="93" t="s">
        <v>151</v>
      </c>
      <c r="C59" s="94"/>
      <c r="D59" s="94"/>
      <c r="E59" s="95"/>
      <c r="F59" s="96" t="s">
        <v>152</v>
      </c>
      <c r="G59" s="96" t="s">
        <v>153</v>
      </c>
      <c r="H59" s="97" t="s">
        <v>154</v>
      </c>
      <c r="I59" s="97" t="s">
        <v>155</v>
      </c>
    </row>
    <row r="60" spans="1:10" x14ac:dyDescent="0.25">
      <c r="A60" s="35" t="s">
        <v>24</v>
      </c>
      <c r="B60" s="11">
        <v>20000</v>
      </c>
      <c r="C60" s="77">
        <v>10200</v>
      </c>
      <c r="D60" s="77">
        <v>10200</v>
      </c>
      <c r="E60" s="77">
        <v>10200</v>
      </c>
      <c r="F60" s="80">
        <f>+B60*0.7</f>
        <v>14000</v>
      </c>
      <c r="G60" s="80">
        <f>+B60*0.6</f>
        <v>12000</v>
      </c>
      <c r="H60" s="11">
        <v>5500</v>
      </c>
      <c r="I60" s="11">
        <v>5500</v>
      </c>
    </row>
    <row r="61" spans="1:10" x14ac:dyDescent="0.25">
      <c r="A61" s="36" t="s">
        <v>25</v>
      </c>
      <c r="B61" s="11">
        <v>30000</v>
      </c>
      <c r="C61" s="77">
        <v>15900</v>
      </c>
      <c r="D61" s="77">
        <v>15900</v>
      </c>
      <c r="E61" s="77">
        <v>15900</v>
      </c>
      <c r="F61" s="80">
        <f>+B61*0.7</f>
        <v>21000</v>
      </c>
      <c r="G61" s="80">
        <f>+B61*0.6</f>
        <v>18000</v>
      </c>
      <c r="H61" s="11">
        <v>8400</v>
      </c>
      <c r="I61" s="11">
        <v>8400</v>
      </c>
    </row>
    <row r="62" spans="1:10" x14ac:dyDescent="0.25">
      <c r="A62" s="36" t="s">
        <v>26</v>
      </c>
      <c r="B62" s="11">
        <v>20000</v>
      </c>
      <c r="C62" s="77">
        <v>10000</v>
      </c>
      <c r="D62" s="77">
        <v>10000</v>
      </c>
      <c r="E62" s="77">
        <v>10000</v>
      </c>
      <c r="F62" s="80">
        <f>+B62*0.7</f>
        <v>14000</v>
      </c>
      <c r="G62" s="80">
        <f>+B62*0.6</f>
        <v>12000</v>
      </c>
      <c r="H62" s="11">
        <v>5000</v>
      </c>
      <c r="I62" s="11">
        <v>5000</v>
      </c>
    </row>
    <row r="63" spans="1:10" x14ac:dyDescent="0.25">
      <c r="A63" s="39" t="s">
        <v>27</v>
      </c>
      <c r="B63" s="76">
        <v>30000</v>
      </c>
      <c r="C63" s="77">
        <v>10000</v>
      </c>
      <c r="D63" s="77">
        <v>10000</v>
      </c>
      <c r="E63" s="77">
        <v>10000</v>
      </c>
      <c r="F63" s="80">
        <f>+B63*0.7</f>
        <v>21000</v>
      </c>
      <c r="G63" s="80">
        <f>+B63*0.6</f>
        <v>18000</v>
      </c>
      <c r="H63" s="11">
        <v>5200</v>
      </c>
      <c r="I63" s="11">
        <v>5200</v>
      </c>
    </row>
    <row r="64" spans="1:10" ht="15.75" customHeight="1" thickBot="1" x14ac:dyDescent="0.3">
      <c r="A64" s="28" t="s">
        <v>28</v>
      </c>
      <c r="B64" s="76">
        <v>30000</v>
      </c>
      <c r="C64" s="77">
        <v>12300</v>
      </c>
      <c r="D64" s="77">
        <v>12300</v>
      </c>
      <c r="E64" s="77">
        <v>12300</v>
      </c>
      <c r="F64" s="80">
        <f>+B64*0.7</f>
        <v>21000</v>
      </c>
      <c r="G64" s="80">
        <f>+B64*0.6</f>
        <v>18000</v>
      </c>
      <c r="H64" s="11">
        <v>7900</v>
      </c>
      <c r="I64" s="11">
        <v>7900</v>
      </c>
    </row>
    <row r="65" spans="1:9" ht="15.75" customHeight="1" thickBot="1" x14ac:dyDescent="0.3">
      <c r="A65" s="21" t="s">
        <v>9</v>
      </c>
      <c r="B65" s="13"/>
      <c r="C65" s="13"/>
      <c r="D65" s="13"/>
      <c r="E65" s="13"/>
      <c r="F65" s="13"/>
      <c r="G65" s="13"/>
      <c r="H65" s="13"/>
      <c r="I65" s="13"/>
    </row>
    <row r="66" spans="1:9" ht="15.75" customHeight="1" thickBot="1" x14ac:dyDescent="0.3">
      <c r="A66" s="40" t="s">
        <v>10</v>
      </c>
      <c r="B66" s="93" t="s">
        <v>151</v>
      </c>
      <c r="C66" s="94"/>
      <c r="D66" s="94"/>
      <c r="E66" s="95"/>
      <c r="F66" s="96" t="s">
        <v>152</v>
      </c>
      <c r="G66" s="96" t="s">
        <v>153</v>
      </c>
      <c r="H66" s="97" t="s">
        <v>154</v>
      </c>
      <c r="I66" s="97" t="s">
        <v>155</v>
      </c>
    </row>
    <row r="67" spans="1:9" x14ac:dyDescent="0.25">
      <c r="A67" s="9" t="s">
        <v>130</v>
      </c>
      <c r="B67" s="80">
        <v>111000</v>
      </c>
      <c r="C67" s="11">
        <v>83700</v>
      </c>
      <c r="D67" s="11">
        <v>83700</v>
      </c>
      <c r="E67" s="11">
        <v>83700</v>
      </c>
      <c r="F67" s="80">
        <f>+B67*0.7</f>
        <v>77700</v>
      </c>
      <c r="G67" s="80">
        <f>+B67*0.6</f>
        <v>66600</v>
      </c>
      <c r="H67" s="11">
        <v>46700</v>
      </c>
      <c r="I67" s="11">
        <v>46700</v>
      </c>
    </row>
    <row r="68" spans="1:9" ht="15.75" thickBot="1" x14ac:dyDescent="0.3">
      <c r="A68" s="68" t="s">
        <v>156</v>
      </c>
      <c r="B68" s="89">
        <v>51000</v>
      </c>
      <c r="C68" s="69">
        <v>51000</v>
      </c>
      <c r="D68" s="69">
        <v>51000</v>
      </c>
      <c r="E68" s="70">
        <v>51000</v>
      </c>
      <c r="F68" s="80">
        <f>+B68*0.7</f>
        <v>35700</v>
      </c>
      <c r="G68" s="80">
        <f>+B68*0.6</f>
        <v>30600</v>
      </c>
      <c r="H68" s="71">
        <v>21300</v>
      </c>
      <c r="I68" s="11">
        <v>21300</v>
      </c>
    </row>
    <row r="69" spans="1:9" ht="15" customHeight="1" thickBot="1" x14ac:dyDescent="0.3">
      <c r="A69" s="40" t="s">
        <v>104</v>
      </c>
      <c r="B69" s="93" t="s">
        <v>151</v>
      </c>
      <c r="C69" s="94"/>
      <c r="D69" s="94"/>
      <c r="E69" s="95"/>
      <c r="F69" s="96" t="s">
        <v>152</v>
      </c>
      <c r="G69" s="96" t="s">
        <v>153</v>
      </c>
      <c r="H69" s="97" t="s">
        <v>154</v>
      </c>
      <c r="I69" s="97" t="s">
        <v>155</v>
      </c>
    </row>
    <row r="70" spans="1:9" ht="15" customHeight="1" x14ac:dyDescent="0.25">
      <c r="A70" s="9" t="s">
        <v>131</v>
      </c>
      <c r="B70" s="80">
        <v>241000</v>
      </c>
      <c r="C70" s="11">
        <v>165000</v>
      </c>
      <c r="D70" s="11">
        <v>165000</v>
      </c>
      <c r="E70" s="11">
        <v>165000</v>
      </c>
      <c r="F70" s="80">
        <f>+B70*0.7</f>
        <v>168700</v>
      </c>
      <c r="G70" s="80">
        <f>+B70*0.6</f>
        <v>144600</v>
      </c>
      <c r="H70" s="11">
        <v>76000</v>
      </c>
      <c r="I70" s="11">
        <v>76000</v>
      </c>
    </row>
    <row r="71" spans="1:9" ht="15" customHeight="1" thickBot="1" x14ac:dyDescent="0.3">
      <c r="A71" s="68" t="s">
        <v>156</v>
      </c>
      <c r="B71" s="89">
        <v>68000</v>
      </c>
      <c r="C71" s="69">
        <v>68000</v>
      </c>
      <c r="D71" s="69">
        <v>68000</v>
      </c>
      <c r="E71" s="70">
        <v>68000</v>
      </c>
      <c r="F71" s="80">
        <f>+B71*0.7</f>
        <v>47600</v>
      </c>
      <c r="G71" s="80">
        <f>+B71*0.6</f>
        <v>40800</v>
      </c>
      <c r="H71" s="71">
        <v>48000</v>
      </c>
      <c r="I71" s="71">
        <v>48000</v>
      </c>
    </row>
    <row r="72" spans="1:9" ht="15" customHeight="1" thickBot="1" x14ac:dyDescent="0.3">
      <c r="A72" s="5" t="s">
        <v>76</v>
      </c>
      <c r="B72" s="93" t="s">
        <v>151</v>
      </c>
      <c r="C72" s="94"/>
      <c r="D72" s="94"/>
      <c r="E72" s="95"/>
      <c r="F72" s="96" t="s">
        <v>152</v>
      </c>
      <c r="G72" s="96" t="s">
        <v>153</v>
      </c>
      <c r="H72" s="97" t="s">
        <v>154</v>
      </c>
      <c r="I72" s="97" t="s">
        <v>155</v>
      </c>
    </row>
    <row r="73" spans="1:9" ht="15" customHeight="1" thickBot="1" x14ac:dyDescent="0.3">
      <c r="A73" s="6" t="s">
        <v>131</v>
      </c>
      <c r="B73" s="80">
        <v>551000</v>
      </c>
      <c r="C73" s="11">
        <v>418000</v>
      </c>
      <c r="D73" s="11">
        <v>418000</v>
      </c>
      <c r="E73" s="11">
        <v>418000</v>
      </c>
      <c r="F73" s="80">
        <f>+B73*0.7</f>
        <v>385700</v>
      </c>
      <c r="G73" s="80">
        <f>+B73*0.6</f>
        <v>330600</v>
      </c>
      <c r="H73" s="11">
        <v>209000</v>
      </c>
      <c r="I73" s="11">
        <v>209000</v>
      </c>
    </row>
    <row r="74" spans="1:9" ht="15" customHeight="1" thickBot="1" x14ac:dyDescent="0.3">
      <c r="A74" s="73" t="s">
        <v>156</v>
      </c>
      <c r="B74" s="89">
        <v>132000</v>
      </c>
      <c r="C74" s="69">
        <v>132000</v>
      </c>
      <c r="D74" s="69">
        <v>132000</v>
      </c>
      <c r="E74" s="70">
        <v>132000</v>
      </c>
      <c r="F74" s="80">
        <f>+B74*0.7</f>
        <v>92400</v>
      </c>
      <c r="G74" s="80">
        <f>+B74*0.6</f>
        <v>79200</v>
      </c>
      <c r="H74" s="71">
        <v>75000</v>
      </c>
      <c r="I74" s="71">
        <v>75000</v>
      </c>
    </row>
    <row r="75" spans="1:9" ht="15" customHeight="1" thickBot="1" x14ac:dyDescent="0.3">
      <c r="A75" s="41" t="s">
        <v>75</v>
      </c>
      <c r="B75" s="93" t="s">
        <v>151</v>
      </c>
      <c r="C75" s="94"/>
      <c r="D75" s="94"/>
      <c r="E75" s="95"/>
      <c r="F75" s="96" t="s">
        <v>152</v>
      </c>
      <c r="G75" s="96" t="s">
        <v>153</v>
      </c>
      <c r="H75" s="97" t="s">
        <v>154</v>
      </c>
      <c r="I75" s="97" t="s">
        <v>155</v>
      </c>
    </row>
    <row r="76" spans="1:9" ht="15" customHeight="1" x14ac:dyDescent="0.25">
      <c r="A76" s="34" t="s">
        <v>130</v>
      </c>
      <c r="B76" s="80">
        <v>962000</v>
      </c>
      <c r="C76" s="11">
        <v>706000</v>
      </c>
      <c r="D76" s="11">
        <v>706000</v>
      </c>
      <c r="E76" s="11">
        <v>706000</v>
      </c>
      <c r="F76" s="80">
        <f>+B76*0.7</f>
        <v>673400</v>
      </c>
      <c r="G76" s="80">
        <f>+B76*0.6</f>
        <v>577200</v>
      </c>
      <c r="H76" s="11">
        <v>464000</v>
      </c>
      <c r="I76" s="11">
        <v>464000</v>
      </c>
    </row>
    <row r="77" spans="1:9" ht="15" customHeight="1" thickBot="1" x14ac:dyDescent="0.3">
      <c r="A77" s="7" t="s">
        <v>157</v>
      </c>
      <c r="B77" s="89">
        <v>203000</v>
      </c>
      <c r="C77" s="69">
        <v>203000</v>
      </c>
      <c r="D77" s="69">
        <v>203000</v>
      </c>
      <c r="E77" s="70">
        <v>203000</v>
      </c>
      <c r="F77" s="80">
        <f>+B77*0.7</f>
        <v>142100</v>
      </c>
      <c r="G77" s="80">
        <f>+B77*0.6</f>
        <v>121800</v>
      </c>
      <c r="H77" s="71">
        <v>139000</v>
      </c>
      <c r="I77" s="71">
        <v>139000</v>
      </c>
    </row>
    <row r="78" spans="1:9" ht="15.75" customHeight="1" thickBot="1" x14ac:dyDescent="0.3">
      <c r="A78" s="42" t="s">
        <v>11</v>
      </c>
      <c r="B78" s="93" t="s">
        <v>151</v>
      </c>
      <c r="C78" s="94"/>
      <c r="D78" s="94"/>
      <c r="E78" s="95"/>
      <c r="F78" s="96" t="s">
        <v>152</v>
      </c>
      <c r="G78" s="96" t="s">
        <v>153</v>
      </c>
      <c r="H78" s="97" t="s">
        <v>154</v>
      </c>
      <c r="I78" s="97" t="s">
        <v>155</v>
      </c>
    </row>
    <row r="79" spans="1:9" x14ac:dyDescent="0.25">
      <c r="A79" s="35" t="s">
        <v>12</v>
      </c>
      <c r="B79" s="78">
        <v>176000</v>
      </c>
      <c r="C79" s="11">
        <v>176000</v>
      </c>
      <c r="D79" s="11">
        <v>176000</v>
      </c>
      <c r="E79" s="11">
        <v>176000</v>
      </c>
      <c r="F79" s="80">
        <f>+B79*0.7</f>
        <v>123199.99999999999</v>
      </c>
      <c r="G79" s="80">
        <f>+B79*0.6</f>
        <v>105600</v>
      </c>
      <c r="H79" s="11">
        <v>176000</v>
      </c>
      <c r="I79" s="11">
        <v>176000</v>
      </c>
    </row>
    <row r="80" spans="1:9" x14ac:dyDescent="0.25">
      <c r="A80" s="43" t="s">
        <v>13</v>
      </c>
      <c r="B80" s="78">
        <v>233000</v>
      </c>
      <c r="C80" s="11">
        <v>233000</v>
      </c>
      <c r="D80" s="11">
        <v>233000</v>
      </c>
      <c r="E80" s="11">
        <v>233000</v>
      </c>
      <c r="F80" s="80">
        <f>+B80*0.7</f>
        <v>163100</v>
      </c>
      <c r="G80" s="80">
        <f>+B80*0.6</f>
        <v>139800</v>
      </c>
      <c r="H80" s="11">
        <v>233000</v>
      </c>
      <c r="I80" s="11">
        <v>233000</v>
      </c>
    </row>
    <row r="81" spans="1:9" x14ac:dyDescent="0.25">
      <c r="A81" s="4" t="s">
        <v>158</v>
      </c>
      <c r="B81" s="78">
        <v>41000</v>
      </c>
      <c r="C81" s="11">
        <v>41000</v>
      </c>
      <c r="D81" s="11">
        <v>41000</v>
      </c>
      <c r="E81" s="11">
        <v>41000</v>
      </c>
      <c r="F81" s="80">
        <f>+B81*0.7</f>
        <v>28699.999999999996</v>
      </c>
      <c r="G81" s="80">
        <f>+B81*0.6</f>
        <v>24600</v>
      </c>
      <c r="H81" s="11">
        <v>41000</v>
      </c>
      <c r="I81" s="11">
        <v>41000</v>
      </c>
    </row>
    <row r="82" spans="1:9" ht="15.75" thickBot="1" x14ac:dyDescent="0.3">
      <c r="A82" s="44" t="s">
        <v>14</v>
      </c>
      <c r="B82" s="78">
        <v>7700</v>
      </c>
      <c r="C82" s="11">
        <v>7700</v>
      </c>
      <c r="D82" s="11">
        <v>7700</v>
      </c>
      <c r="E82" s="11">
        <v>7700</v>
      </c>
      <c r="F82" s="80">
        <f>+B82*0.7</f>
        <v>5390</v>
      </c>
      <c r="G82" s="80">
        <f>+B82*0.6</f>
        <v>4620</v>
      </c>
      <c r="H82" s="11">
        <v>7700</v>
      </c>
      <c r="I82" s="11">
        <v>7700</v>
      </c>
    </row>
    <row r="83" spans="1:9" ht="16.5" thickBot="1" x14ac:dyDescent="0.3">
      <c r="A83" s="21" t="s">
        <v>43</v>
      </c>
      <c r="B83" s="93" t="s">
        <v>151</v>
      </c>
      <c r="C83" s="94"/>
      <c r="D83" s="94"/>
      <c r="E83" s="95"/>
      <c r="F83" s="96" t="s">
        <v>152</v>
      </c>
      <c r="G83" s="96" t="s">
        <v>153</v>
      </c>
      <c r="H83" s="97" t="s">
        <v>154</v>
      </c>
      <c r="I83" s="97" t="s">
        <v>155</v>
      </c>
    </row>
    <row r="84" spans="1:9" ht="15.75" thickBot="1" x14ac:dyDescent="0.3">
      <c r="A84" s="45" t="s">
        <v>44</v>
      </c>
      <c r="B84" s="84">
        <v>64600</v>
      </c>
      <c r="C84" s="84"/>
      <c r="D84" s="84"/>
      <c r="E84" s="84"/>
      <c r="F84" s="85"/>
      <c r="G84" s="85"/>
      <c r="H84" s="84"/>
      <c r="I84" s="84"/>
    </row>
    <row r="85" spans="1:9" ht="15" customHeight="1" x14ac:dyDescent="0.25">
      <c r="A85" s="74" t="s">
        <v>33</v>
      </c>
      <c r="B85" s="75"/>
      <c r="C85" s="62"/>
      <c r="D85" s="62"/>
      <c r="E85" s="63"/>
      <c r="F85" s="96" t="s">
        <v>152</v>
      </c>
      <c r="G85" s="96" t="s">
        <v>153</v>
      </c>
      <c r="H85" s="97" t="s">
        <v>154</v>
      </c>
      <c r="I85" s="97" t="s">
        <v>155</v>
      </c>
    </row>
    <row r="86" spans="1:9" x14ac:dyDescent="0.25">
      <c r="A86" s="46" t="s">
        <v>132</v>
      </c>
      <c r="B86" s="80">
        <v>97000</v>
      </c>
      <c r="C86" s="11">
        <v>57000</v>
      </c>
      <c r="D86" s="11">
        <v>57000</v>
      </c>
      <c r="E86" s="11">
        <v>57000</v>
      </c>
      <c r="F86" s="80">
        <f>+B86*0.7</f>
        <v>67900</v>
      </c>
      <c r="G86" s="80">
        <f>+B86*0.6</f>
        <v>58200</v>
      </c>
      <c r="H86" s="11">
        <v>23500</v>
      </c>
      <c r="I86" s="11">
        <v>23500</v>
      </c>
    </row>
    <row r="87" spans="1:9" x14ac:dyDescent="0.25">
      <c r="A87" s="46" t="s">
        <v>133</v>
      </c>
      <c r="B87" s="80">
        <v>282000</v>
      </c>
      <c r="C87" s="11">
        <v>168000</v>
      </c>
      <c r="D87" s="11">
        <v>168000</v>
      </c>
      <c r="E87" s="11">
        <v>168000</v>
      </c>
      <c r="F87" s="80">
        <f>+B87*0.7</f>
        <v>197400</v>
      </c>
      <c r="G87" s="80">
        <f>+B87*0.6</f>
        <v>169200</v>
      </c>
      <c r="H87" s="11">
        <v>72000</v>
      </c>
      <c r="I87" s="11">
        <v>72000</v>
      </c>
    </row>
    <row r="88" spans="1:9" x14ac:dyDescent="0.25">
      <c r="A88" s="46" t="s">
        <v>134</v>
      </c>
      <c r="B88" s="80">
        <v>256000</v>
      </c>
      <c r="C88" s="11">
        <v>140000</v>
      </c>
      <c r="D88" s="11">
        <v>140000</v>
      </c>
      <c r="E88" s="11">
        <v>140000</v>
      </c>
      <c r="F88" s="80">
        <f>+B88*0.7</f>
        <v>179200</v>
      </c>
      <c r="G88" s="80">
        <f>+B88*0.6</f>
        <v>153600</v>
      </c>
      <c r="H88" s="11">
        <v>62000</v>
      </c>
      <c r="I88" s="11">
        <v>62000</v>
      </c>
    </row>
    <row r="89" spans="1:9" x14ac:dyDescent="0.25">
      <c r="A89" s="46" t="s">
        <v>135</v>
      </c>
      <c r="B89" s="80">
        <v>508000</v>
      </c>
      <c r="C89" s="11">
        <v>287000</v>
      </c>
      <c r="D89" s="11">
        <v>287000</v>
      </c>
      <c r="E89" s="11">
        <v>287000</v>
      </c>
      <c r="F89" s="80">
        <f>+B89*0.7</f>
        <v>355600</v>
      </c>
      <c r="G89" s="80">
        <f>+B89*0.6</f>
        <v>304800</v>
      </c>
      <c r="H89" s="11">
        <v>124000</v>
      </c>
      <c r="I89" s="11">
        <v>1240000</v>
      </c>
    </row>
    <row r="90" spans="1:9" ht="15.75" thickBot="1" x14ac:dyDescent="0.3">
      <c r="A90" s="47" t="s">
        <v>136</v>
      </c>
      <c r="B90" s="80">
        <v>8200</v>
      </c>
      <c r="C90" s="11">
        <v>6200</v>
      </c>
      <c r="D90" s="11">
        <v>6200</v>
      </c>
      <c r="E90" s="11">
        <v>6200</v>
      </c>
      <c r="F90" s="80">
        <f>+B90*0.7</f>
        <v>5740</v>
      </c>
      <c r="G90" s="80">
        <f>+B90*0.6</f>
        <v>4920</v>
      </c>
      <c r="H90" s="11">
        <v>2500</v>
      </c>
      <c r="I90" s="11">
        <v>2500</v>
      </c>
    </row>
    <row r="91" spans="1:9" ht="15" customHeight="1" x14ac:dyDescent="0.25">
      <c r="A91" s="48" t="s">
        <v>36</v>
      </c>
      <c r="B91" s="93" t="s">
        <v>151</v>
      </c>
      <c r="C91" s="94"/>
      <c r="D91" s="94"/>
      <c r="E91" s="95"/>
      <c r="F91" s="96" t="s">
        <v>152</v>
      </c>
      <c r="G91" s="96" t="s">
        <v>153</v>
      </c>
      <c r="H91" s="97" t="s">
        <v>154</v>
      </c>
      <c r="I91" s="97" t="s">
        <v>155</v>
      </c>
    </row>
    <row r="92" spans="1:9" x14ac:dyDescent="0.25">
      <c r="A92" s="49" t="s">
        <v>32</v>
      </c>
      <c r="B92" s="13"/>
      <c r="C92" s="13"/>
      <c r="D92" s="13"/>
      <c r="E92" s="13"/>
      <c r="F92" s="80">
        <f>+B92*0.7</f>
        <v>0</v>
      </c>
      <c r="G92" s="80">
        <f>+B92*0.6</f>
        <v>0</v>
      </c>
      <c r="H92" s="13"/>
      <c r="I92" s="13"/>
    </row>
    <row r="93" spans="1:9" ht="15" customHeight="1" x14ac:dyDescent="0.25">
      <c r="A93" s="47" t="s">
        <v>34</v>
      </c>
      <c r="B93" s="80">
        <v>104000</v>
      </c>
      <c r="C93" s="11">
        <v>94000</v>
      </c>
      <c r="D93" s="11">
        <v>94000</v>
      </c>
      <c r="E93" s="11">
        <v>94000</v>
      </c>
      <c r="F93" s="80">
        <f>+B93*0.7</f>
        <v>72800</v>
      </c>
      <c r="G93" s="80">
        <f>+B93*0.6</f>
        <v>62400</v>
      </c>
      <c r="H93" s="11">
        <v>41600</v>
      </c>
      <c r="I93" s="11">
        <v>41600</v>
      </c>
    </row>
    <row r="94" spans="1:9" ht="15" customHeight="1" thickBot="1" x14ac:dyDescent="0.3">
      <c r="A94" s="47" t="s">
        <v>35</v>
      </c>
      <c r="B94" s="80">
        <v>144750</v>
      </c>
      <c r="C94" s="11">
        <v>106000</v>
      </c>
      <c r="D94" s="11">
        <v>106000</v>
      </c>
      <c r="E94" s="11">
        <v>106000</v>
      </c>
      <c r="F94" s="80">
        <f>+B94*0.7</f>
        <v>101325</v>
      </c>
      <c r="G94" s="80">
        <f>+B94*0.6</f>
        <v>86850</v>
      </c>
      <c r="H94" s="11">
        <v>57900</v>
      </c>
      <c r="I94" s="11">
        <v>57900</v>
      </c>
    </row>
    <row r="95" spans="1:9" ht="15.75" x14ac:dyDescent="0.25">
      <c r="A95" s="50" t="s">
        <v>40</v>
      </c>
      <c r="B95" s="93" t="s">
        <v>151</v>
      </c>
      <c r="C95" s="94"/>
      <c r="D95" s="94"/>
      <c r="E95" s="95"/>
      <c r="F95" s="96" t="s">
        <v>152</v>
      </c>
      <c r="G95" s="96" t="s">
        <v>153</v>
      </c>
      <c r="H95" s="97" t="s">
        <v>154</v>
      </c>
      <c r="I95" s="97" t="s">
        <v>155</v>
      </c>
    </row>
    <row r="96" spans="1:9" x14ac:dyDescent="0.25">
      <c r="A96" s="47" t="s">
        <v>37</v>
      </c>
      <c r="B96" s="86">
        <f>+E96/0.7</f>
        <v>13428.571428571429</v>
      </c>
      <c r="C96" s="11">
        <v>9400</v>
      </c>
      <c r="D96" s="11">
        <v>9400</v>
      </c>
      <c r="E96" s="11">
        <v>9400</v>
      </c>
      <c r="F96" s="86">
        <f>+B96*0.7</f>
        <v>9400</v>
      </c>
      <c r="G96" s="86">
        <f>+B96*0.6</f>
        <v>8057.1428571428569</v>
      </c>
      <c r="H96" s="87">
        <f>+B96*0.4</f>
        <v>5371.4285714285725</v>
      </c>
      <c r="I96" s="11"/>
    </row>
    <row r="97" spans="1:9" x14ac:dyDescent="0.25">
      <c r="A97" s="46" t="s">
        <v>38</v>
      </c>
      <c r="B97" s="86">
        <f>+E97/0.7</f>
        <v>19714.285714285714</v>
      </c>
      <c r="C97" s="11">
        <v>13800</v>
      </c>
      <c r="D97" s="11">
        <v>13800</v>
      </c>
      <c r="E97" s="11">
        <v>13800</v>
      </c>
      <c r="F97" s="80">
        <f>+B97*0.7</f>
        <v>13799.999999999998</v>
      </c>
      <c r="G97" s="86">
        <f>+B97*0.6</f>
        <v>11828.571428571428</v>
      </c>
      <c r="H97" s="87">
        <f>+B97*0.4</f>
        <v>7885.7142857142862</v>
      </c>
      <c r="I97" s="11"/>
    </row>
    <row r="98" spans="1:9" ht="15.75" thickBot="1" x14ac:dyDescent="0.3">
      <c r="A98" s="47" t="s">
        <v>39</v>
      </c>
      <c r="B98" s="86">
        <f>+E98/0.7</f>
        <v>19714.285714285714</v>
      </c>
      <c r="C98" s="11">
        <v>13800</v>
      </c>
      <c r="D98" s="11">
        <v>13800</v>
      </c>
      <c r="E98" s="11">
        <v>13800</v>
      </c>
      <c r="F98" s="80">
        <f>+B98*0.7</f>
        <v>13799.999999999998</v>
      </c>
      <c r="G98" s="86">
        <f>+B98*0.6</f>
        <v>11828.571428571428</v>
      </c>
      <c r="H98" s="87">
        <f>+B98*0.4</f>
        <v>7885.7142857142862</v>
      </c>
      <c r="I98" s="11"/>
    </row>
    <row r="99" spans="1:9" ht="15.75" customHeight="1" thickBot="1" x14ac:dyDescent="0.3">
      <c r="A99" s="21" t="s">
        <v>29</v>
      </c>
      <c r="B99" s="93" t="s">
        <v>151</v>
      </c>
      <c r="C99" s="94"/>
      <c r="D99" s="94"/>
      <c r="E99" s="95"/>
      <c r="F99" s="96" t="s">
        <v>152</v>
      </c>
      <c r="G99" s="96" t="s">
        <v>153</v>
      </c>
      <c r="H99" s="97" t="s">
        <v>154</v>
      </c>
      <c r="I99" s="97" t="s">
        <v>155</v>
      </c>
    </row>
    <row r="100" spans="1:9" ht="15.75" customHeight="1" x14ac:dyDescent="0.25">
      <c r="A100" s="51" t="s">
        <v>48</v>
      </c>
      <c r="B100" s="80">
        <v>55600</v>
      </c>
      <c r="C100" s="11">
        <v>38700</v>
      </c>
      <c r="D100" s="11">
        <v>38700</v>
      </c>
      <c r="E100" s="11">
        <v>38700</v>
      </c>
      <c r="F100" s="80">
        <f>+B100*0.7</f>
        <v>38920</v>
      </c>
      <c r="G100" s="80">
        <f>+B100*0.6</f>
        <v>33360</v>
      </c>
      <c r="H100" s="11">
        <v>26800</v>
      </c>
      <c r="I100" s="11">
        <v>26800</v>
      </c>
    </row>
    <row r="101" spans="1:9" ht="15.75" thickBot="1" x14ac:dyDescent="0.3">
      <c r="A101" s="52" t="s">
        <v>49</v>
      </c>
      <c r="B101" s="80">
        <v>13900</v>
      </c>
      <c r="C101" s="11">
        <v>13900</v>
      </c>
      <c r="D101" s="11">
        <v>13900</v>
      </c>
      <c r="E101" s="11">
        <v>13900</v>
      </c>
      <c r="F101" s="80">
        <f>+B101*0.7</f>
        <v>9730</v>
      </c>
      <c r="G101" s="80">
        <f>+B101*0.6</f>
        <v>8340</v>
      </c>
      <c r="H101" s="88">
        <v>13900</v>
      </c>
      <c r="I101" s="11">
        <v>13600</v>
      </c>
    </row>
    <row r="102" spans="1:9" ht="16.5" thickBot="1" x14ac:dyDescent="0.3">
      <c r="A102" s="53" t="s">
        <v>74</v>
      </c>
      <c r="B102" s="12"/>
      <c r="C102" s="12"/>
      <c r="D102" s="12"/>
      <c r="E102" s="12"/>
      <c r="F102" s="12"/>
      <c r="G102" s="12"/>
      <c r="H102" s="12"/>
      <c r="I102" s="12"/>
    </row>
    <row r="103" spans="1:9" ht="16.5" thickBot="1" x14ac:dyDescent="0.3">
      <c r="A103" s="57" t="s">
        <v>81</v>
      </c>
      <c r="B103" s="93" t="s">
        <v>151</v>
      </c>
      <c r="C103" s="94"/>
      <c r="D103" s="94"/>
      <c r="E103" s="95"/>
      <c r="F103" s="96" t="s">
        <v>152</v>
      </c>
      <c r="G103" s="96" t="s">
        <v>153</v>
      </c>
      <c r="H103" s="97" t="s">
        <v>154</v>
      </c>
      <c r="I103" s="97" t="s">
        <v>155</v>
      </c>
    </row>
    <row r="104" spans="1:9" ht="15.75" x14ac:dyDescent="0.25">
      <c r="A104" s="14" t="s">
        <v>77</v>
      </c>
      <c r="B104" s="11">
        <v>88886</v>
      </c>
      <c r="C104" s="11">
        <v>44443</v>
      </c>
      <c r="D104" s="11">
        <v>44443</v>
      </c>
      <c r="E104" s="11">
        <v>44443</v>
      </c>
      <c r="F104" s="80">
        <f>+B104*0.7</f>
        <v>62220.2</v>
      </c>
      <c r="G104" s="80">
        <f>+B104*0.6</f>
        <v>53331.6</v>
      </c>
      <c r="H104" s="11">
        <v>24647</v>
      </c>
      <c r="I104" s="11">
        <v>24647</v>
      </c>
    </row>
    <row r="105" spans="1:9" ht="15.75" x14ac:dyDescent="0.25">
      <c r="A105" s="15" t="s">
        <v>78</v>
      </c>
      <c r="B105" s="11">
        <v>103703</v>
      </c>
      <c r="C105" s="11">
        <v>51852</v>
      </c>
      <c r="D105" s="11">
        <v>51852</v>
      </c>
      <c r="E105" s="11">
        <v>51852</v>
      </c>
      <c r="F105" s="80">
        <f>+B105*0.7</f>
        <v>72592.099999999991</v>
      </c>
      <c r="G105" s="80">
        <f>+B105*0.6</f>
        <v>62221.799999999996</v>
      </c>
      <c r="H105" s="11">
        <v>28755</v>
      </c>
      <c r="I105" s="11">
        <v>28755</v>
      </c>
    </row>
    <row r="106" spans="1:9" ht="15.75" x14ac:dyDescent="0.25">
      <c r="A106" s="15" t="s">
        <v>79</v>
      </c>
      <c r="B106" s="11">
        <v>174729</v>
      </c>
      <c r="C106" s="11">
        <v>87365</v>
      </c>
      <c r="D106" s="11">
        <v>87365</v>
      </c>
      <c r="E106" s="11">
        <v>87365</v>
      </c>
      <c r="F106" s="80">
        <f>+B106*0.7</f>
        <v>122310.29999999999</v>
      </c>
      <c r="G106" s="80">
        <f>+B106*0.6</f>
        <v>104837.4</v>
      </c>
      <c r="H106" s="11">
        <v>48449</v>
      </c>
      <c r="I106" s="11">
        <v>48449</v>
      </c>
    </row>
    <row r="107" spans="1:9" ht="15.75" x14ac:dyDescent="0.25">
      <c r="A107" s="15" t="s">
        <v>80</v>
      </c>
      <c r="B107" s="11">
        <v>22223</v>
      </c>
      <c r="C107" s="11">
        <v>11112</v>
      </c>
      <c r="D107" s="11">
        <v>11112</v>
      </c>
      <c r="E107" s="11">
        <v>11112</v>
      </c>
      <c r="F107" s="80">
        <f>+B107*0.7</f>
        <v>15556.099999999999</v>
      </c>
      <c r="G107" s="80">
        <f>+B107*0.6</f>
        <v>13333.8</v>
      </c>
      <c r="H107" s="11">
        <v>6162</v>
      </c>
      <c r="I107" s="11">
        <v>6162</v>
      </c>
    </row>
    <row r="108" spans="1:9" ht="16.5" thickBot="1" x14ac:dyDescent="0.3">
      <c r="A108" s="16" t="s">
        <v>82</v>
      </c>
      <c r="B108" s="11">
        <v>111110</v>
      </c>
      <c r="C108" s="11">
        <v>55555</v>
      </c>
      <c r="D108" s="11">
        <v>55555</v>
      </c>
      <c r="E108" s="11">
        <v>55555</v>
      </c>
      <c r="F108" s="80">
        <f>+B108*0.7</f>
        <v>77777</v>
      </c>
      <c r="G108" s="80">
        <f>+B108*0.6</f>
        <v>66666</v>
      </c>
      <c r="H108" s="11">
        <v>30809</v>
      </c>
      <c r="I108" s="11">
        <v>30809</v>
      </c>
    </row>
    <row r="109" spans="1:9" ht="16.5" thickBot="1" x14ac:dyDescent="0.3">
      <c r="A109" s="56" t="s">
        <v>159</v>
      </c>
      <c r="B109" s="93" t="s">
        <v>151</v>
      </c>
      <c r="C109" s="94"/>
      <c r="D109" s="94"/>
      <c r="E109" s="95"/>
      <c r="F109" s="96" t="s">
        <v>152</v>
      </c>
      <c r="G109" s="96" t="s">
        <v>153</v>
      </c>
      <c r="H109" s="97" t="s">
        <v>154</v>
      </c>
      <c r="I109" s="97" t="s">
        <v>155</v>
      </c>
    </row>
    <row r="110" spans="1:9" ht="15.75" x14ac:dyDescent="0.25">
      <c r="A110" s="17" t="s">
        <v>83</v>
      </c>
      <c r="B110" s="11">
        <v>312686</v>
      </c>
      <c r="C110" s="11">
        <v>156343</v>
      </c>
      <c r="D110" s="11">
        <v>156343</v>
      </c>
      <c r="E110" s="11">
        <v>156343</v>
      </c>
      <c r="F110" s="80">
        <f>+B110*0.7</f>
        <v>218880.19999999998</v>
      </c>
      <c r="G110" s="80">
        <f>+B110*0.6</f>
        <v>187611.6</v>
      </c>
      <c r="H110" s="11">
        <v>85421</v>
      </c>
      <c r="I110" s="11">
        <v>85421</v>
      </c>
    </row>
    <row r="111" spans="1:9" ht="15.75" x14ac:dyDescent="0.25">
      <c r="A111" s="19" t="s">
        <v>84</v>
      </c>
      <c r="B111" s="11">
        <v>349723</v>
      </c>
      <c r="C111" s="11">
        <v>174861</v>
      </c>
      <c r="D111" s="11">
        <v>174861</v>
      </c>
      <c r="E111" s="11">
        <v>174861</v>
      </c>
      <c r="F111" s="80">
        <f>+B111*0.7</f>
        <v>244806.09999999998</v>
      </c>
      <c r="G111" s="80">
        <f>+B111*0.6</f>
        <v>209833.8</v>
      </c>
      <c r="H111" s="11">
        <v>95539</v>
      </c>
      <c r="I111" s="11">
        <v>95539</v>
      </c>
    </row>
    <row r="112" spans="1:9" ht="16.5" thickBot="1" x14ac:dyDescent="0.3">
      <c r="A112" s="18" t="s">
        <v>85</v>
      </c>
      <c r="B112" s="11">
        <v>446016</v>
      </c>
      <c r="C112" s="11">
        <v>223008</v>
      </c>
      <c r="D112" s="11">
        <v>223008</v>
      </c>
      <c r="E112" s="11">
        <v>223008</v>
      </c>
      <c r="F112" s="80">
        <f>+B112*0.7</f>
        <v>312211.19999999995</v>
      </c>
      <c r="G112" s="80">
        <f>+B112*0.6</f>
        <v>267609.59999999998</v>
      </c>
      <c r="H112" s="11">
        <v>121845</v>
      </c>
      <c r="I112" s="11">
        <v>121845</v>
      </c>
    </row>
    <row r="113" spans="1:9" ht="16.5" thickBot="1" x14ac:dyDescent="0.3">
      <c r="A113" s="55" t="s">
        <v>86</v>
      </c>
      <c r="B113" s="93" t="s">
        <v>151</v>
      </c>
      <c r="C113" s="94"/>
      <c r="D113" s="94"/>
      <c r="E113" s="95"/>
      <c r="F113" s="96" t="s">
        <v>152</v>
      </c>
      <c r="G113" s="96" t="s">
        <v>153</v>
      </c>
      <c r="H113" s="97" t="s">
        <v>154</v>
      </c>
      <c r="I113" s="97" t="s">
        <v>155</v>
      </c>
    </row>
    <row r="114" spans="1:9" ht="15.75" x14ac:dyDescent="0.25">
      <c r="A114" s="17" t="s">
        <v>87</v>
      </c>
      <c r="B114" s="11">
        <v>128763</v>
      </c>
      <c r="C114" s="11">
        <v>64381</v>
      </c>
      <c r="D114" s="11">
        <v>64381</v>
      </c>
      <c r="E114" s="11">
        <v>64381</v>
      </c>
      <c r="F114" s="80">
        <f>+B114*0.7</f>
        <v>90134.099999999991</v>
      </c>
      <c r="G114" s="80">
        <f>+B114*0.6</f>
        <v>77257.8</v>
      </c>
      <c r="H114" s="11">
        <v>35704</v>
      </c>
      <c r="I114" s="11">
        <v>35704</v>
      </c>
    </row>
    <row r="115" spans="1:9" ht="16.5" thickBot="1" x14ac:dyDescent="0.3">
      <c r="A115" s="18" t="s">
        <v>88</v>
      </c>
      <c r="B115" s="11">
        <v>199762</v>
      </c>
      <c r="C115" s="11">
        <v>99881</v>
      </c>
      <c r="D115" s="11">
        <v>99881</v>
      </c>
      <c r="E115" s="11">
        <v>99881</v>
      </c>
      <c r="F115" s="80">
        <f>+B115*0.7</f>
        <v>139833.4</v>
      </c>
      <c r="G115" s="80">
        <f>+B115*0.6</f>
        <v>119857.2</v>
      </c>
      <c r="H115" s="11">
        <v>55391</v>
      </c>
      <c r="I115" s="11">
        <v>55391</v>
      </c>
    </row>
    <row r="116" spans="1:9" ht="16.5" thickBot="1" x14ac:dyDescent="0.3">
      <c r="A116" s="55" t="s">
        <v>89</v>
      </c>
      <c r="B116" s="93" t="s">
        <v>151</v>
      </c>
      <c r="C116" s="94"/>
      <c r="D116" s="94"/>
      <c r="E116" s="95"/>
      <c r="F116" s="96" t="s">
        <v>152</v>
      </c>
      <c r="G116" s="96" t="s">
        <v>153</v>
      </c>
      <c r="H116" s="97" t="s">
        <v>154</v>
      </c>
      <c r="I116" s="97" t="s">
        <v>155</v>
      </c>
    </row>
    <row r="117" spans="1:9" ht="15.75" x14ac:dyDescent="0.25">
      <c r="A117" s="17" t="s">
        <v>90</v>
      </c>
      <c r="B117" s="11">
        <v>477701</v>
      </c>
      <c r="C117" s="11">
        <v>238851</v>
      </c>
      <c r="D117" s="11">
        <v>238851</v>
      </c>
      <c r="E117" s="11">
        <v>238851</v>
      </c>
      <c r="F117" s="80">
        <f>+B117*0.7</f>
        <v>334390.69999999995</v>
      </c>
      <c r="G117" s="80">
        <f>+B117*0.6</f>
        <v>286620.59999999998</v>
      </c>
      <c r="H117" s="11">
        <v>132458</v>
      </c>
      <c r="I117" s="11">
        <v>132458</v>
      </c>
    </row>
    <row r="118" spans="1:9" ht="15.75" x14ac:dyDescent="0.25">
      <c r="A118" s="19" t="s">
        <v>91</v>
      </c>
      <c r="B118" s="11">
        <v>236516</v>
      </c>
      <c r="C118" s="11">
        <v>118258</v>
      </c>
      <c r="D118" s="11">
        <v>118258</v>
      </c>
      <c r="E118" s="11">
        <v>118258</v>
      </c>
      <c r="F118" s="80">
        <f>+B118*0.7</f>
        <v>165561.19999999998</v>
      </c>
      <c r="G118" s="80">
        <f>+B118*0.6</f>
        <v>141909.6</v>
      </c>
      <c r="H118" s="11">
        <v>65582</v>
      </c>
      <c r="I118" s="11">
        <v>65582</v>
      </c>
    </row>
    <row r="119" spans="1:9" ht="15.75" x14ac:dyDescent="0.25">
      <c r="A119" s="19" t="s">
        <v>92</v>
      </c>
      <c r="B119" s="11">
        <v>274873</v>
      </c>
      <c r="C119" s="11">
        <v>137436</v>
      </c>
      <c r="D119" s="11">
        <v>137436</v>
      </c>
      <c r="E119" s="11">
        <v>137436</v>
      </c>
      <c r="F119" s="80">
        <f>+B119*0.7</f>
        <v>192411.09999999998</v>
      </c>
      <c r="G119" s="80">
        <f>+B119*0.6</f>
        <v>164923.79999999999</v>
      </c>
      <c r="H119" s="11">
        <v>76217</v>
      </c>
      <c r="I119" s="11">
        <v>76217</v>
      </c>
    </row>
    <row r="120" spans="1:9" ht="16.5" thickBot="1" x14ac:dyDescent="0.3">
      <c r="A120" s="18" t="s">
        <v>93</v>
      </c>
      <c r="B120" s="11">
        <v>313203</v>
      </c>
      <c r="C120" s="11">
        <v>156601</v>
      </c>
      <c r="D120" s="11">
        <v>156601</v>
      </c>
      <c r="E120" s="11">
        <v>156601</v>
      </c>
      <c r="F120" s="80">
        <f>+B120*0.7</f>
        <v>219242.09999999998</v>
      </c>
      <c r="G120" s="80">
        <f>+B120*0.6</f>
        <v>187921.8</v>
      </c>
      <c r="H120" s="11">
        <v>86846</v>
      </c>
      <c r="I120" s="11">
        <v>86846</v>
      </c>
    </row>
    <row r="121" spans="1:9" ht="16.5" thickBot="1" x14ac:dyDescent="0.3">
      <c r="A121" s="55" t="s">
        <v>94</v>
      </c>
      <c r="B121" s="93" t="s">
        <v>151</v>
      </c>
      <c r="C121" s="94"/>
      <c r="D121" s="94"/>
      <c r="E121" s="95"/>
      <c r="F121" s="96" t="s">
        <v>152</v>
      </c>
      <c r="G121" s="96" t="s">
        <v>153</v>
      </c>
      <c r="H121" s="97" t="s">
        <v>154</v>
      </c>
      <c r="I121" s="97" t="s">
        <v>155</v>
      </c>
    </row>
    <row r="122" spans="1:9" ht="15.75" x14ac:dyDescent="0.25">
      <c r="A122" s="17" t="s">
        <v>95</v>
      </c>
      <c r="B122" s="11">
        <v>139695</v>
      </c>
      <c r="C122" s="11">
        <v>69848</v>
      </c>
      <c r="D122" s="11">
        <v>69848</v>
      </c>
      <c r="E122" s="11">
        <v>69848</v>
      </c>
      <c r="F122" s="80">
        <f>+B122*0.7</f>
        <v>97786.5</v>
      </c>
      <c r="G122" s="80">
        <f>+B122*0.6</f>
        <v>83817</v>
      </c>
      <c r="H122" s="11">
        <v>38735</v>
      </c>
      <c r="I122" s="11">
        <v>38735</v>
      </c>
    </row>
    <row r="123" spans="1:9" ht="15.75" x14ac:dyDescent="0.25">
      <c r="A123" s="19" t="s">
        <v>96</v>
      </c>
      <c r="B123" s="11">
        <v>153373</v>
      </c>
      <c r="C123" s="11">
        <v>76687</v>
      </c>
      <c r="D123" s="11">
        <v>76687</v>
      </c>
      <c r="E123" s="11">
        <v>76687</v>
      </c>
      <c r="F123" s="80">
        <f>+B123*0.7</f>
        <v>107361.09999999999</v>
      </c>
      <c r="G123" s="80">
        <f>+B123*0.6</f>
        <v>92023.8</v>
      </c>
      <c r="H123" s="11">
        <v>42528</v>
      </c>
      <c r="I123" s="11">
        <v>42528</v>
      </c>
    </row>
    <row r="124" spans="1:9" ht="15.75" x14ac:dyDescent="0.25">
      <c r="A124" s="19" t="s">
        <v>97</v>
      </c>
      <c r="B124" s="11">
        <v>184044</v>
      </c>
      <c r="C124" s="11">
        <v>92022</v>
      </c>
      <c r="D124" s="11">
        <v>92022</v>
      </c>
      <c r="E124" s="11">
        <v>92022</v>
      </c>
      <c r="F124" s="80">
        <f>+B124*0.7</f>
        <v>128830.79999999999</v>
      </c>
      <c r="G124" s="80">
        <f>+B124*0.6</f>
        <v>110426.4</v>
      </c>
      <c r="H124" s="11">
        <v>51032</v>
      </c>
      <c r="I124" s="11">
        <v>51032</v>
      </c>
    </row>
    <row r="125" spans="1:9" ht="16.5" thickBot="1" x14ac:dyDescent="0.3">
      <c r="A125" s="19" t="s">
        <v>98</v>
      </c>
      <c r="B125" s="11">
        <v>49078</v>
      </c>
      <c r="C125" s="11">
        <v>24539</v>
      </c>
      <c r="D125" s="11">
        <v>24539</v>
      </c>
      <c r="E125" s="11">
        <v>24539</v>
      </c>
      <c r="F125" s="80">
        <f>+B125*0.7</f>
        <v>34354.6</v>
      </c>
      <c r="G125" s="80">
        <f>+B125*0.6</f>
        <v>29446.799999999999</v>
      </c>
      <c r="H125" s="11">
        <v>13608</v>
      </c>
      <c r="I125" s="11">
        <v>13608</v>
      </c>
    </row>
    <row r="126" spans="1:9" ht="15.75" x14ac:dyDescent="0.25">
      <c r="A126" s="55" t="s">
        <v>102</v>
      </c>
      <c r="B126" s="93" t="s">
        <v>151</v>
      </c>
      <c r="C126" s="94"/>
      <c r="D126" s="94"/>
      <c r="E126" s="95"/>
      <c r="F126" s="96" t="s">
        <v>152</v>
      </c>
      <c r="G126" s="96" t="s">
        <v>153</v>
      </c>
      <c r="H126" s="97" t="s">
        <v>154</v>
      </c>
      <c r="I126" s="97" t="s">
        <v>155</v>
      </c>
    </row>
    <row r="127" spans="1:9" ht="15.75" x14ac:dyDescent="0.25">
      <c r="A127" s="19" t="s">
        <v>99</v>
      </c>
      <c r="B127" s="11">
        <v>661862</v>
      </c>
      <c r="C127" s="11">
        <v>330931</v>
      </c>
      <c r="D127" s="11">
        <v>330931</v>
      </c>
      <c r="E127" s="11">
        <v>330931</v>
      </c>
      <c r="F127" s="80">
        <f>+B127*0.7</f>
        <v>463303.39999999997</v>
      </c>
      <c r="G127" s="80">
        <f>+B127*0.6</f>
        <v>397117.2</v>
      </c>
      <c r="H127" s="11">
        <v>183523</v>
      </c>
      <c r="I127" s="11">
        <v>183523</v>
      </c>
    </row>
    <row r="128" spans="1:9" ht="15.75" x14ac:dyDescent="0.25">
      <c r="A128" s="19" t="s">
        <v>100</v>
      </c>
      <c r="B128" s="11">
        <v>692556</v>
      </c>
      <c r="C128" s="11">
        <v>346278</v>
      </c>
      <c r="D128" s="11">
        <v>346278</v>
      </c>
      <c r="E128" s="11">
        <v>346278</v>
      </c>
      <c r="F128" s="80">
        <f>+B128*0.7</f>
        <v>484789.19999999995</v>
      </c>
      <c r="G128" s="80">
        <f>+B128*0.6</f>
        <v>415533.6</v>
      </c>
      <c r="H128" s="11">
        <v>192034</v>
      </c>
      <c r="I128" s="11">
        <v>192034</v>
      </c>
    </row>
    <row r="129" spans="1:9" ht="16.5" thickBot="1" x14ac:dyDescent="0.3">
      <c r="A129" s="54" t="s">
        <v>101</v>
      </c>
      <c r="B129" s="11">
        <v>90078</v>
      </c>
      <c r="C129" s="11">
        <v>45039</v>
      </c>
      <c r="D129" s="11">
        <v>45039</v>
      </c>
      <c r="E129" s="11">
        <v>45039</v>
      </c>
      <c r="F129" s="80">
        <f>+B129*0.7</f>
        <v>63054.6</v>
      </c>
      <c r="G129" s="80">
        <f>+B129*0.6</f>
        <v>54046.799999999996</v>
      </c>
      <c r="H129" s="11">
        <v>24977</v>
      </c>
      <c r="I129" s="11">
        <v>24977</v>
      </c>
    </row>
    <row r="130" spans="1:9" ht="18.75" x14ac:dyDescent="0.3">
      <c r="A130" s="58" t="s">
        <v>137</v>
      </c>
      <c r="B130" s="93" t="s">
        <v>151</v>
      </c>
      <c r="C130" s="94"/>
      <c r="D130" s="94"/>
      <c r="E130" s="95"/>
      <c r="F130" s="96" t="s">
        <v>152</v>
      </c>
      <c r="G130" s="96" t="s">
        <v>153</v>
      </c>
      <c r="H130" s="97" t="s">
        <v>154</v>
      </c>
      <c r="I130" s="97" t="s">
        <v>155</v>
      </c>
    </row>
    <row r="131" spans="1:9" x14ac:dyDescent="0.25">
      <c r="A131" s="11" t="s">
        <v>52</v>
      </c>
      <c r="B131" s="83">
        <f>+G131/0.6</f>
        <v>160333.33333333334</v>
      </c>
      <c r="C131" s="11">
        <v>96200</v>
      </c>
      <c r="D131" s="11">
        <v>96200</v>
      </c>
      <c r="E131" s="11">
        <v>96200</v>
      </c>
      <c r="F131" s="83">
        <f t="shared" ref="F131:F151" si="2">+B131*0.7</f>
        <v>112233.33333333333</v>
      </c>
      <c r="G131" s="78">
        <f t="shared" ref="G131:G150" si="3">+E131</f>
        <v>96200</v>
      </c>
      <c r="H131" s="11"/>
      <c r="I131" s="11"/>
    </row>
    <row r="132" spans="1:9" x14ac:dyDescent="0.25">
      <c r="A132" s="11" t="s">
        <v>53</v>
      </c>
      <c r="B132" s="83">
        <f t="shared" ref="B132:B150" si="4">+G132/0.6</f>
        <v>80166.666666666672</v>
      </c>
      <c r="C132" s="11">
        <v>48100</v>
      </c>
      <c r="D132" s="11">
        <v>48100</v>
      </c>
      <c r="E132" s="11">
        <v>48100</v>
      </c>
      <c r="F132" s="83">
        <f t="shared" si="2"/>
        <v>56116.666666666664</v>
      </c>
      <c r="G132" s="78">
        <f t="shared" si="3"/>
        <v>48100</v>
      </c>
      <c r="H132" s="11"/>
      <c r="I132" s="11"/>
    </row>
    <row r="133" spans="1:9" x14ac:dyDescent="0.25">
      <c r="A133" s="11" t="s">
        <v>54</v>
      </c>
      <c r="B133" s="83">
        <f t="shared" si="4"/>
        <v>153333.33333333334</v>
      </c>
      <c r="C133" s="11">
        <v>92000</v>
      </c>
      <c r="D133" s="11">
        <v>92000</v>
      </c>
      <c r="E133" s="11">
        <v>92000</v>
      </c>
      <c r="F133" s="83">
        <f t="shared" si="2"/>
        <v>107333.33333333333</v>
      </c>
      <c r="G133" s="78">
        <f t="shared" si="3"/>
        <v>92000</v>
      </c>
      <c r="H133" s="11"/>
      <c r="I133" s="11"/>
    </row>
    <row r="134" spans="1:9" x14ac:dyDescent="0.25">
      <c r="A134" s="11" t="s">
        <v>55</v>
      </c>
      <c r="B134" s="83">
        <f t="shared" si="4"/>
        <v>144500</v>
      </c>
      <c r="C134" s="11">
        <v>86700</v>
      </c>
      <c r="D134" s="11">
        <v>86700</v>
      </c>
      <c r="E134" s="11">
        <v>86700</v>
      </c>
      <c r="F134" s="83">
        <f t="shared" si="2"/>
        <v>101150</v>
      </c>
      <c r="G134" s="78">
        <f t="shared" si="3"/>
        <v>86700</v>
      </c>
      <c r="H134" s="11"/>
      <c r="I134" s="11"/>
    </row>
    <row r="135" spans="1:9" x14ac:dyDescent="0.25">
      <c r="A135" s="11" t="s">
        <v>56</v>
      </c>
      <c r="B135" s="83">
        <f t="shared" si="4"/>
        <v>28500</v>
      </c>
      <c r="C135" s="11">
        <v>17100</v>
      </c>
      <c r="D135" s="11">
        <v>17100</v>
      </c>
      <c r="E135" s="11">
        <v>17100</v>
      </c>
      <c r="F135" s="83">
        <f t="shared" si="2"/>
        <v>19950</v>
      </c>
      <c r="G135" s="78">
        <f t="shared" si="3"/>
        <v>17100</v>
      </c>
      <c r="H135" s="11"/>
      <c r="I135" s="11"/>
    </row>
    <row r="136" spans="1:9" x14ac:dyDescent="0.25">
      <c r="A136" s="11" t="s">
        <v>71</v>
      </c>
      <c r="B136" s="83">
        <f t="shared" si="4"/>
        <v>28500</v>
      </c>
      <c r="C136" s="11">
        <v>17100</v>
      </c>
      <c r="D136" s="11">
        <v>17100</v>
      </c>
      <c r="E136" s="11">
        <v>17100</v>
      </c>
      <c r="F136" s="83">
        <f t="shared" si="2"/>
        <v>19950</v>
      </c>
      <c r="G136" s="78">
        <f t="shared" si="3"/>
        <v>17100</v>
      </c>
      <c r="H136" s="11"/>
      <c r="I136" s="11"/>
    </row>
    <row r="137" spans="1:9" x14ac:dyDescent="0.25">
      <c r="A137" s="11" t="s">
        <v>69</v>
      </c>
      <c r="B137" s="83">
        <f t="shared" si="4"/>
        <v>28500</v>
      </c>
      <c r="C137" s="11">
        <v>17100</v>
      </c>
      <c r="D137" s="11">
        <v>17100</v>
      </c>
      <c r="E137" s="11">
        <v>17100</v>
      </c>
      <c r="F137" s="83">
        <f t="shared" si="2"/>
        <v>19950</v>
      </c>
      <c r="G137" s="78">
        <f t="shared" si="3"/>
        <v>17100</v>
      </c>
      <c r="H137" s="11"/>
      <c r="I137" s="11"/>
    </row>
    <row r="138" spans="1:9" x14ac:dyDescent="0.25">
      <c r="A138" s="11" t="s">
        <v>57</v>
      </c>
      <c r="B138" s="83">
        <f t="shared" si="4"/>
        <v>27666.666666666668</v>
      </c>
      <c r="C138" s="11">
        <v>16600</v>
      </c>
      <c r="D138" s="11">
        <v>16600</v>
      </c>
      <c r="E138" s="11">
        <v>16600</v>
      </c>
      <c r="F138" s="83">
        <f t="shared" si="2"/>
        <v>19366.666666666668</v>
      </c>
      <c r="G138" s="78">
        <f t="shared" si="3"/>
        <v>16600</v>
      </c>
      <c r="H138" s="11"/>
      <c r="I138" s="11"/>
    </row>
    <row r="139" spans="1:9" x14ac:dyDescent="0.25">
      <c r="A139" s="11" t="s">
        <v>58</v>
      </c>
      <c r="B139" s="83">
        <f t="shared" si="4"/>
        <v>20500</v>
      </c>
      <c r="C139" s="11">
        <v>12300</v>
      </c>
      <c r="D139" s="11">
        <v>12300</v>
      </c>
      <c r="E139" s="11">
        <v>12300</v>
      </c>
      <c r="F139" s="83">
        <f t="shared" si="2"/>
        <v>14349.999999999998</v>
      </c>
      <c r="G139" s="78">
        <f t="shared" si="3"/>
        <v>12300</v>
      </c>
      <c r="H139" s="11"/>
      <c r="I139" s="11"/>
    </row>
    <row r="140" spans="1:9" x14ac:dyDescent="0.25">
      <c r="A140" s="11" t="s">
        <v>59</v>
      </c>
      <c r="B140" s="83">
        <f t="shared" si="4"/>
        <v>22833.333333333336</v>
      </c>
      <c r="C140" s="11">
        <v>13700</v>
      </c>
      <c r="D140" s="11">
        <v>13700</v>
      </c>
      <c r="E140" s="11">
        <v>13700</v>
      </c>
      <c r="F140" s="83">
        <f t="shared" si="2"/>
        <v>15983.333333333334</v>
      </c>
      <c r="G140" s="78">
        <f t="shared" si="3"/>
        <v>13700</v>
      </c>
      <c r="H140" s="11"/>
      <c r="I140" s="11"/>
    </row>
    <row r="141" spans="1:9" x14ac:dyDescent="0.25">
      <c r="A141" s="11" t="s">
        <v>73</v>
      </c>
      <c r="B141" s="83">
        <f t="shared" si="4"/>
        <v>23000</v>
      </c>
      <c r="C141" s="11">
        <v>13800</v>
      </c>
      <c r="D141" s="11">
        <v>13800</v>
      </c>
      <c r="E141" s="11">
        <v>13800</v>
      </c>
      <c r="F141" s="83">
        <f t="shared" si="2"/>
        <v>16099.999999999998</v>
      </c>
      <c r="G141" s="78">
        <f t="shared" si="3"/>
        <v>13800</v>
      </c>
      <c r="H141" s="11"/>
      <c r="I141" s="11"/>
    </row>
    <row r="142" spans="1:9" x14ac:dyDescent="0.25">
      <c r="A142" s="11" t="s">
        <v>60</v>
      </c>
      <c r="B142" s="83">
        <f t="shared" si="4"/>
        <v>34333.333333333336</v>
      </c>
      <c r="C142" s="11">
        <v>20600</v>
      </c>
      <c r="D142" s="11">
        <v>20600</v>
      </c>
      <c r="E142" s="11">
        <v>20600</v>
      </c>
      <c r="F142" s="83">
        <f t="shared" si="2"/>
        <v>24033.333333333332</v>
      </c>
      <c r="G142" s="78">
        <f t="shared" si="3"/>
        <v>20600</v>
      </c>
      <c r="H142" s="11"/>
      <c r="I142" s="11"/>
    </row>
    <row r="143" spans="1:9" x14ac:dyDescent="0.25">
      <c r="A143" s="11" t="s">
        <v>61</v>
      </c>
      <c r="B143" s="83">
        <f t="shared" si="4"/>
        <v>29000</v>
      </c>
      <c r="C143" s="11">
        <v>17400</v>
      </c>
      <c r="D143" s="11">
        <v>17400</v>
      </c>
      <c r="E143" s="11">
        <v>17400</v>
      </c>
      <c r="F143" s="83">
        <f t="shared" si="2"/>
        <v>20300</v>
      </c>
      <c r="G143" s="78">
        <f t="shared" si="3"/>
        <v>17400</v>
      </c>
      <c r="H143" s="11"/>
      <c r="I143" s="11"/>
    </row>
    <row r="144" spans="1:9" x14ac:dyDescent="0.25">
      <c r="A144" s="11" t="s">
        <v>62</v>
      </c>
      <c r="B144" s="83">
        <f t="shared" si="4"/>
        <v>27333.333333333336</v>
      </c>
      <c r="C144" s="11">
        <v>16400</v>
      </c>
      <c r="D144" s="11">
        <v>16400</v>
      </c>
      <c r="E144" s="11">
        <v>16400</v>
      </c>
      <c r="F144" s="83">
        <f t="shared" si="2"/>
        <v>19133.333333333332</v>
      </c>
      <c r="G144" s="78">
        <f t="shared" si="3"/>
        <v>16400</v>
      </c>
      <c r="H144" s="11"/>
      <c r="I144" s="11"/>
    </row>
    <row r="145" spans="1:9" x14ac:dyDescent="0.25">
      <c r="A145" s="11" t="s">
        <v>63</v>
      </c>
      <c r="B145" s="83">
        <f t="shared" si="4"/>
        <v>27333.333333333336</v>
      </c>
      <c r="C145" s="11">
        <v>16400</v>
      </c>
      <c r="D145" s="11">
        <v>16400</v>
      </c>
      <c r="E145" s="11">
        <v>16400</v>
      </c>
      <c r="F145" s="83">
        <f t="shared" si="2"/>
        <v>19133.333333333332</v>
      </c>
      <c r="G145" s="78">
        <f t="shared" si="3"/>
        <v>16400</v>
      </c>
      <c r="H145" s="11"/>
      <c r="I145" s="11"/>
    </row>
    <row r="146" spans="1:9" x14ac:dyDescent="0.25">
      <c r="A146" s="11" t="s">
        <v>64</v>
      </c>
      <c r="B146" s="83">
        <f t="shared" si="4"/>
        <v>27666.666666666668</v>
      </c>
      <c r="C146" s="11">
        <v>16600</v>
      </c>
      <c r="D146" s="11">
        <v>16600</v>
      </c>
      <c r="E146" s="11">
        <v>16600</v>
      </c>
      <c r="F146" s="83">
        <f t="shared" si="2"/>
        <v>19366.666666666668</v>
      </c>
      <c r="G146" s="78">
        <f t="shared" si="3"/>
        <v>16600</v>
      </c>
      <c r="H146" s="11"/>
      <c r="I146" s="11"/>
    </row>
    <row r="147" spans="1:9" x14ac:dyDescent="0.25">
      <c r="A147" s="11" t="s">
        <v>65</v>
      </c>
      <c r="B147" s="83">
        <f t="shared" si="4"/>
        <v>33000</v>
      </c>
      <c r="C147" s="11">
        <v>19800</v>
      </c>
      <c r="D147" s="11">
        <v>19800</v>
      </c>
      <c r="E147" s="11">
        <v>19800</v>
      </c>
      <c r="F147" s="83">
        <f t="shared" si="2"/>
        <v>23100</v>
      </c>
      <c r="G147" s="78">
        <f t="shared" si="3"/>
        <v>19800</v>
      </c>
      <c r="H147" s="11"/>
      <c r="I147" s="11"/>
    </row>
    <row r="148" spans="1:9" x14ac:dyDescent="0.25">
      <c r="A148" s="11" t="s">
        <v>66</v>
      </c>
      <c r="B148" s="83">
        <f t="shared" si="4"/>
        <v>24000</v>
      </c>
      <c r="C148" s="11">
        <v>14400</v>
      </c>
      <c r="D148" s="11">
        <v>14400</v>
      </c>
      <c r="E148" s="11">
        <v>14400</v>
      </c>
      <c r="F148" s="83">
        <f t="shared" si="2"/>
        <v>16800</v>
      </c>
      <c r="G148" s="78">
        <f t="shared" si="3"/>
        <v>14400</v>
      </c>
      <c r="H148" s="11"/>
      <c r="I148" s="11"/>
    </row>
    <row r="149" spans="1:9" x14ac:dyDescent="0.25">
      <c r="A149" s="11" t="s">
        <v>67</v>
      </c>
      <c r="B149" s="83">
        <f t="shared" si="4"/>
        <v>58166.666666666672</v>
      </c>
      <c r="C149" s="11">
        <v>34900</v>
      </c>
      <c r="D149" s="11">
        <v>34900</v>
      </c>
      <c r="E149" s="11">
        <v>34900</v>
      </c>
      <c r="F149" s="83">
        <f t="shared" si="2"/>
        <v>40716.666666666664</v>
      </c>
      <c r="G149" s="78">
        <f t="shared" si="3"/>
        <v>34900</v>
      </c>
      <c r="H149" s="11"/>
      <c r="I149" s="11"/>
    </row>
    <row r="150" spans="1:9" x14ac:dyDescent="0.25">
      <c r="A150" s="11" t="s">
        <v>68</v>
      </c>
      <c r="B150" s="83">
        <f t="shared" si="4"/>
        <v>62333.333333333336</v>
      </c>
      <c r="C150" s="11">
        <v>37400</v>
      </c>
      <c r="D150" s="11">
        <v>37400</v>
      </c>
      <c r="E150" s="11">
        <v>37400</v>
      </c>
      <c r="F150" s="83">
        <f t="shared" si="2"/>
        <v>43633.333333333336</v>
      </c>
      <c r="G150" s="78">
        <f t="shared" si="3"/>
        <v>37400</v>
      </c>
      <c r="H150" s="11"/>
      <c r="I150" s="11"/>
    </row>
    <row r="151" spans="1:9" ht="15.75" thickBot="1" x14ac:dyDescent="0.3">
      <c r="A151" s="11" t="s">
        <v>70</v>
      </c>
      <c r="B151" s="11">
        <v>70000</v>
      </c>
      <c r="C151" s="11">
        <v>40000</v>
      </c>
      <c r="D151" s="11">
        <v>40000</v>
      </c>
      <c r="E151" s="11">
        <v>40000</v>
      </c>
      <c r="F151" s="83">
        <f t="shared" si="2"/>
        <v>49000</v>
      </c>
      <c r="G151" s="78">
        <f>+B151*0.6</f>
        <v>42000</v>
      </c>
      <c r="H151" s="11">
        <v>20000</v>
      </c>
      <c r="I151" s="11">
        <v>20000</v>
      </c>
    </row>
    <row r="152" spans="1:9" ht="15.75" thickBot="1" x14ac:dyDescent="0.3">
      <c r="A152" s="61" t="s">
        <v>0</v>
      </c>
      <c r="B152" s="91"/>
      <c r="C152" s="91"/>
      <c r="D152" s="91"/>
      <c r="E152" s="91"/>
      <c r="F152" s="91"/>
      <c r="G152" s="91"/>
      <c r="H152" s="91"/>
      <c r="I152" s="91"/>
    </row>
    <row r="153" spans="1:9" s="12" customFormat="1" ht="15.75" x14ac:dyDescent="0.25">
      <c r="A153" s="59" t="s">
        <v>4</v>
      </c>
      <c r="B153" s="93" t="s">
        <v>151</v>
      </c>
      <c r="C153" s="94"/>
      <c r="D153" s="94"/>
      <c r="E153" s="95"/>
      <c r="F153" s="96" t="s">
        <v>152</v>
      </c>
      <c r="G153" s="96" t="s">
        <v>153</v>
      </c>
      <c r="H153" s="97" t="s">
        <v>154</v>
      </c>
      <c r="I153" s="97" t="s">
        <v>155</v>
      </c>
    </row>
    <row r="154" spans="1:9" s="12" customFormat="1" ht="15.75" x14ac:dyDescent="0.25">
      <c r="A154" s="36" t="s">
        <v>6</v>
      </c>
      <c r="B154" s="90"/>
      <c r="C154" s="90"/>
      <c r="D154" s="90"/>
      <c r="E154" s="90"/>
      <c r="F154" s="90"/>
      <c r="G154" s="92">
        <v>12000</v>
      </c>
      <c r="H154" s="90"/>
      <c r="I154" s="90"/>
    </row>
    <row r="155" spans="1:9" s="12" customFormat="1" ht="15.75" x14ac:dyDescent="0.25">
      <c r="A155" s="9" t="s">
        <v>7</v>
      </c>
      <c r="B155" s="90"/>
      <c r="C155" s="90"/>
      <c r="D155" s="90"/>
      <c r="E155" s="90"/>
      <c r="F155" s="90"/>
      <c r="G155" s="92">
        <v>25000</v>
      </c>
      <c r="H155" s="90"/>
      <c r="I155" s="90"/>
    </row>
    <row r="156" spans="1:9" s="12" customFormat="1" ht="15.75" x14ac:dyDescent="0.25">
      <c r="A156" s="24" t="s">
        <v>143</v>
      </c>
      <c r="B156" s="90"/>
      <c r="C156" s="90"/>
      <c r="D156" s="90"/>
      <c r="E156" s="90"/>
      <c r="F156" s="90"/>
      <c r="G156" s="92">
        <v>22000</v>
      </c>
      <c r="H156" s="90"/>
      <c r="I156" s="90"/>
    </row>
    <row r="157" spans="1:9" s="12" customFormat="1" ht="15.75" x14ac:dyDescent="0.25">
      <c r="A157" s="24" t="s">
        <v>145</v>
      </c>
      <c r="B157" s="90"/>
      <c r="C157" s="90"/>
      <c r="D157" s="90"/>
      <c r="E157" s="90"/>
      <c r="F157" s="90"/>
      <c r="G157" s="92">
        <v>32000</v>
      </c>
      <c r="H157" s="90"/>
      <c r="I157" s="90"/>
    </row>
    <row r="158" spans="1:9" s="12" customFormat="1" ht="16.5" thickBot="1" x14ac:dyDescent="0.3">
      <c r="A158" s="24" t="s">
        <v>144</v>
      </c>
      <c r="B158" s="90"/>
      <c r="C158" s="90"/>
      <c r="D158" s="90"/>
      <c r="E158" s="90"/>
      <c r="F158" s="90"/>
      <c r="G158" s="92">
        <v>32000</v>
      </c>
      <c r="H158" s="90"/>
      <c r="I158" s="90"/>
    </row>
    <row r="159" spans="1:9" ht="16.5" thickBot="1" x14ac:dyDescent="0.3">
      <c r="A159" s="60" t="s">
        <v>15</v>
      </c>
      <c r="B159" s="93" t="s">
        <v>151</v>
      </c>
      <c r="C159" s="94"/>
      <c r="D159" s="94"/>
      <c r="E159" s="95"/>
      <c r="F159" s="96" t="s">
        <v>152</v>
      </c>
      <c r="G159" s="96" t="s">
        <v>153</v>
      </c>
      <c r="H159" s="97" t="s">
        <v>154</v>
      </c>
      <c r="I159" s="97" t="s">
        <v>155</v>
      </c>
    </row>
    <row r="160" spans="1:9" x14ac:dyDescent="0.25">
      <c r="A160" s="8" t="s">
        <v>5</v>
      </c>
      <c r="B160" s="76"/>
      <c r="C160" s="76"/>
      <c r="D160" s="76"/>
      <c r="E160" s="76"/>
      <c r="F160" s="76">
        <v>28000</v>
      </c>
      <c r="G160" s="78">
        <v>25500</v>
      </c>
      <c r="H160" s="76"/>
      <c r="I160" s="76"/>
    </row>
    <row r="161" spans="1:9" ht="15.75" thickBot="1" x14ac:dyDescent="0.3">
      <c r="A161" s="10" t="s">
        <v>138</v>
      </c>
      <c r="B161" s="76"/>
      <c r="C161" s="76"/>
      <c r="D161" s="76"/>
      <c r="E161" s="76"/>
      <c r="F161" s="76"/>
      <c r="G161" s="76"/>
      <c r="H161" s="76"/>
      <c r="I161" s="76"/>
    </row>
    <row r="162" spans="1:9" ht="16.5" thickBot="1" x14ac:dyDescent="0.3">
      <c r="A162" s="60" t="s">
        <v>8</v>
      </c>
      <c r="B162" s="93" t="s">
        <v>151</v>
      </c>
      <c r="C162" s="94"/>
      <c r="D162" s="94"/>
      <c r="E162" s="95"/>
      <c r="F162" s="96" t="s">
        <v>152</v>
      </c>
      <c r="G162" s="96" t="s">
        <v>153</v>
      </c>
      <c r="H162" s="97" t="s">
        <v>154</v>
      </c>
      <c r="I162" s="97" t="s">
        <v>155</v>
      </c>
    </row>
    <row r="163" spans="1:9" x14ac:dyDescent="0.25">
      <c r="A163" s="8" t="s">
        <v>41</v>
      </c>
      <c r="B163" s="76"/>
      <c r="C163" s="76"/>
      <c r="D163" s="76"/>
      <c r="E163" s="76"/>
      <c r="F163" s="76"/>
      <c r="G163" s="78">
        <v>40000</v>
      </c>
      <c r="H163" s="76"/>
      <c r="I163" s="76"/>
    </row>
  </sheetData>
  <mergeCells count="1">
    <mergeCell ref="B1:H1"/>
  </mergeCells>
  <pageMargins left="0" right="0" top="0" bottom="0" header="0.31496062992125984" footer="0.31496062992125984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VALORES</vt:lpstr>
      <vt:lpstr>VALORES!Área_de_impresión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Turno PB1</dc:creator>
  <cp:lastModifiedBy>usuario</cp:lastModifiedBy>
  <cp:lastPrinted>2026-06-30T19:30:16Z</cp:lastPrinted>
  <dcterms:created xsi:type="dcterms:W3CDTF">2021-06-15T15:34:03Z</dcterms:created>
  <dcterms:modified xsi:type="dcterms:W3CDTF">2026-08-12T17:36:35Z</dcterms:modified>
</cp:coreProperties>
</file>